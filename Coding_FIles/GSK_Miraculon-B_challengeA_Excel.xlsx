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_study" sheetId="1" r:id="rId5"/>
    <sheet state="visible" name="response_vs_proteinconcentratio" sheetId="2" r:id="rId6"/>
    <sheet state="visible" name="response_vs_bmi_pivot" sheetId="3" r:id="rId7"/>
    <sheet state="visible" name="response_vs_age_pivot" sheetId="4" r:id="rId8"/>
    <sheet state="visible" name="Detail1" sheetId="5" r:id="rId9"/>
    <sheet state="visible" name="trt_grp_vs_response_label_pivot" sheetId="6" r:id="rId10"/>
    <sheet state="visible" name="protein_data" sheetId="7" r:id="rId11"/>
  </sheets>
  <definedNames>
    <definedName hidden="1" localSheetId="0" name="_xlnm._FilterDatabase">clinical_study!$A$1:$J$773</definedName>
    <definedName hidden="1" localSheetId="3" name="_xlnm._FilterDatabase">response_vs_age_pivot!$A$1:$A$1000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<sst xmlns="http://schemas.openxmlformats.org/spreadsheetml/2006/main" count="3981" uniqueCount="796">
  <si>
    <t>subject_id</t>
  </si>
  <si>
    <t>age</t>
  </si>
  <si>
    <t>sex</t>
  </si>
  <si>
    <t>weight</t>
  </si>
  <si>
    <t>height</t>
  </si>
  <si>
    <t>trt_grp</t>
  </si>
  <si>
    <t>RESPONSE</t>
  </si>
  <si>
    <t>BMI</t>
  </si>
  <si>
    <t>protein_concentration</t>
  </si>
  <si>
    <t>response_label</t>
  </si>
  <si>
    <t>SUBJ_001</t>
  </si>
  <si>
    <t>Female</t>
  </si>
  <si>
    <t>DRUG</t>
  </si>
  <si>
    <t>N</t>
  </si>
  <si>
    <t>SUBJ_002</t>
  </si>
  <si>
    <t>Y</t>
  </si>
  <si>
    <t>SUBJ_003</t>
  </si>
  <si>
    <t>CONTROL</t>
  </si>
  <si>
    <t>SUBJ_004</t>
  </si>
  <si>
    <t>SUBJ_005</t>
  </si>
  <si>
    <t>SUBJ_006</t>
  </si>
  <si>
    <t>Male</t>
  </si>
  <si>
    <t>SUBJ_007</t>
  </si>
  <si>
    <t>SUBJ_008</t>
  </si>
  <si>
    <t>SUBJ_009</t>
  </si>
  <si>
    <t>SUBJ_010</t>
  </si>
  <si>
    <t>NA</t>
  </si>
  <si>
    <t>SUBJ_011</t>
  </si>
  <si>
    <t>SUBJ_012</t>
  </si>
  <si>
    <t>SUBJ_013</t>
  </si>
  <si>
    <t>SUBJ_014</t>
  </si>
  <si>
    <t>SUBJ_015</t>
  </si>
  <si>
    <t>SUBJ_016</t>
  </si>
  <si>
    <t>SUBJ_017</t>
  </si>
  <si>
    <t>SUBJ_018</t>
  </si>
  <si>
    <t>SUBJ_019</t>
  </si>
  <si>
    <t>SUBJ_020</t>
  </si>
  <si>
    <t>SUBJ_021</t>
  </si>
  <si>
    <t>SUBJ_022</t>
  </si>
  <si>
    <t>SUBJ_023</t>
  </si>
  <si>
    <t>SUBJ_024</t>
  </si>
  <si>
    <t>SUBJ_025</t>
  </si>
  <si>
    <t>SUBJ_026</t>
  </si>
  <si>
    <t>SUBJ_027</t>
  </si>
  <si>
    <t>SUBJ_028</t>
  </si>
  <si>
    <t>SUBJ_029</t>
  </si>
  <si>
    <t>SUBJ_030</t>
  </si>
  <si>
    <t>SUBJ_031</t>
  </si>
  <si>
    <t>SUBJ_032</t>
  </si>
  <si>
    <t>SUBJ_033</t>
  </si>
  <si>
    <t>SUBJ_034</t>
  </si>
  <si>
    <t>SUBJ_035</t>
  </si>
  <si>
    <t>SUBJ_036</t>
  </si>
  <si>
    <t>SUBJ_037</t>
  </si>
  <si>
    <t>SUBJ_038</t>
  </si>
  <si>
    <t>SUBJ_039</t>
  </si>
  <si>
    <t>SUBJ_040</t>
  </si>
  <si>
    <t>SUBJ_041</t>
  </si>
  <si>
    <t>SUBJ_042</t>
  </si>
  <si>
    <t>SUBJ_043</t>
  </si>
  <si>
    <t>SUBJ_044</t>
  </si>
  <si>
    <t>SUBJ_045</t>
  </si>
  <si>
    <t>SUBJ_046</t>
  </si>
  <si>
    <t>SUBJ_047</t>
  </si>
  <si>
    <t>SUBJ_048</t>
  </si>
  <si>
    <t>SUBJ_049</t>
  </si>
  <si>
    <t>SUBJ_050</t>
  </si>
  <si>
    <t>SUBJ_051</t>
  </si>
  <si>
    <t>SUBJ_052</t>
  </si>
  <si>
    <t>SUBJ_053</t>
  </si>
  <si>
    <t>SUBJ_054</t>
  </si>
  <si>
    <t>SUBJ_055</t>
  </si>
  <si>
    <t>SUBJ_056</t>
  </si>
  <si>
    <t>SUBJ_057</t>
  </si>
  <si>
    <t>SUBJ_058</t>
  </si>
  <si>
    <t>SUBJ_059</t>
  </si>
  <si>
    <t>SUBJ_060</t>
  </si>
  <si>
    <t>SUBJ_061</t>
  </si>
  <si>
    <t>SUBJ_062</t>
  </si>
  <si>
    <t>SUBJ_063</t>
  </si>
  <si>
    <t>SUBJ_064</t>
  </si>
  <si>
    <t>SUBJ_065</t>
  </si>
  <si>
    <t>SUBJ_066</t>
  </si>
  <si>
    <t>SUBJ_067</t>
  </si>
  <si>
    <t>SUBJ_068</t>
  </si>
  <si>
    <t>SUBJ_069</t>
  </si>
  <si>
    <t>SUBJ_070</t>
  </si>
  <si>
    <t>SUBJ_071</t>
  </si>
  <si>
    <t>SUBJ_072</t>
  </si>
  <si>
    <t>SUBJ_073</t>
  </si>
  <si>
    <t>SUBJ_074</t>
  </si>
  <si>
    <t>SUBJ_075</t>
  </si>
  <si>
    <t>SUBJ_076</t>
  </si>
  <si>
    <t>SUBJ_077</t>
  </si>
  <si>
    <t>SUBJ_078</t>
  </si>
  <si>
    <t>SUBJ_079</t>
  </si>
  <si>
    <t>SUBJ_080</t>
  </si>
  <si>
    <t>SUBJ_081</t>
  </si>
  <si>
    <t>SUBJ_082</t>
  </si>
  <si>
    <t>SUBJ_083</t>
  </si>
  <si>
    <t>SUBJ_084</t>
  </si>
  <si>
    <t>SUBJ_085</t>
  </si>
  <si>
    <t>SUBJ_086</t>
  </si>
  <si>
    <t>SUBJ_087</t>
  </si>
  <si>
    <t>SUBJ_088</t>
  </si>
  <si>
    <t>SUBJ_089</t>
  </si>
  <si>
    <t>SUBJ_090</t>
  </si>
  <si>
    <t>SUBJ_091</t>
  </si>
  <si>
    <t>SUBJ_092</t>
  </si>
  <si>
    <t>SUBJ_093</t>
  </si>
  <si>
    <t>SUBJ_094</t>
  </si>
  <si>
    <t>SUBJ_095</t>
  </si>
  <si>
    <t>SUBJ_096</t>
  </si>
  <si>
    <t>SUBJ_097</t>
  </si>
  <si>
    <t>SUBJ_098</t>
  </si>
  <si>
    <t>SUBJ_099</t>
  </si>
  <si>
    <t>SUBJ_100</t>
  </si>
  <si>
    <t>SUBJ_101</t>
  </si>
  <si>
    <t>SUBJ_102</t>
  </si>
  <si>
    <t>SUBJ_103</t>
  </si>
  <si>
    <t>SUBJ_104</t>
  </si>
  <si>
    <t>SUBJ_105</t>
  </si>
  <si>
    <t>SUBJ_106</t>
  </si>
  <si>
    <t>SUBJ_107</t>
  </si>
  <si>
    <t>SUBJ_108</t>
  </si>
  <si>
    <t>SUBJ_109</t>
  </si>
  <si>
    <t>SUBJ_110</t>
  </si>
  <si>
    <t>SUBJ_111</t>
  </si>
  <si>
    <t>SUBJ_112</t>
  </si>
  <si>
    <t>SUBJ_113</t>
  </si>
  <si>
    <t>SUBJ_114</t>
  </si>
  <si>
    <t>SUBJ_115</t>
  </si>
  <si>
    <t>SUBJ_116</t>
  </si>
  <si>
    <t>SUBJ_117</t>
  </si>
  <si>
    <t>SUBJ_118</t>
  </si>
  <si>
    <t>SUBJ_119</t>
  </si>
  <si>
    <t>SUBJ_120</t>
  </si>
  <si>
    <t>SUBJ_121</t>
  </si>
  <si>
    <t>SUBJ_122</t>
  </si>
  <si>
    <t>SUBJ_123</t>
  </si>
  <si>
    <t>SUBJ_124</t>
  </si>
  <si>
    <t>SUBJ_125</t>
  </si>
  <si>
    <t>SUBJ_126</t>
  </si>
  <si>
    <t>SUBJ_127</t>
  </si>
  <si>
    <t>SUBJ_128</t>
  </si>
  <si>
    <t>SUBJ_129</t>
  </si>
  <si>
    <t>SUBJ_130</t>
  </si>
  <si>
    <t>SUBJ_131</t>
  </si>
  <si>
    <t>SUBJ_132</t>
  </si>
  <si>
    <t>SUBJ_133</t>
  </si>
  <si>
    <t>SUBJ_134</t>
  </si>
  <si>
    <t>SUBJ_135</t>
  </si>
  <si>
    <t>SUBJ_136</t>
  </si>
  <si>
    <t>SUBJ_137</t>
  </si>
  <si>
    <t>SUBJ_138</t>
  </si>
  <si>
    <t>SUBJ_139</t>
  </si>
  <si>
    <t>SUBJ_140</t>
  </si>
  <si>
    <t>SUBJ_141</t>
  </si>
  <si>
    <t>SUBJ_142</t>
  </si>
  <si>
    <t>SUBJ_143</t>
  </si>
  <si>
    <t>SUBJ_144</t>
  </si>
  <si>
    <t>SUBJ_145</t>
  </si>
  <si>
    <t>SUBJ_146</t>
  </si>
  <si>
    <t>SUBJ_147</t>
  </si>
  <si>
    <t>SUBJ_148</t>
  </si>
  <si>
    <t>SUBJ_149</t>
  </si>
  <si>
    <t>SUBJ_150</t>
  </si>
  <si>
    <t>SUBJ_151</t>
  </si>
  <si>
    <t>SUBJ_152</t>
  </si>
  <si>
    <t>SUBJ_153</t>
  </si>
  <si>
    <t>SUBJ_154</t>
  </si>
  <si>
    <t>SUBJ_155</t>
  </si>
  <si>
    <t>SUBJ_156</t>
  </si>
  <si>
    <t>SUBJ_157</t>
  </si>
  <si>
    <t>SUBJ_158</t>
  </si>
  <si>
    <t>SUBJ_159</t>
  </si>
  <si>
    <t>SUBJ_160</t>
  </si>
  <si>
    <t>SUBJ_161</t>
  </si>
  <si>
    <t>SUBJ_162</t>
  </si>
  <si>
    <t>SUBJ_163</t>
  </si>
  <si>
    <t>SUBJ_164</t>
  </si>
  <si>
    <t>SUBJ_165</t>
  </si>
  <si>
    <t>SUBJ_166</t>
  </si>
  <si>
    <t>SUBJ_167</t>
  </si>
  <si>
    <t>SUBJ_168</t>
  </si>
  <si>
    <t>SUBJ_169</t>
  </si>
  <si>
    <t>SUBJ_170</t>
  </si>
  <si>
    <t>SUBJ_171</t>
  </si>
  <si>
    <t>SUBJ_172</t>
  </si>
  <si>
    <t>SUBJ_173</t>
  </si>
  <si>
    <t>SUBJ_174</t>
  </si>
  <si>
    <t>SUBJ_175</t>
  </si>
  <si>
    <t>SUBJ_176</t>
  </si>
  <si>
    <t>SUBJ_177</t>
  </si>
  <si>
    <t>SUBJ_178</t>
  </si>
  <si>
    <t>SUBJ_179</t>
  </si>
  <si>
    <t>SUBJ_180</t>
  </si>
  <si>
    <t>SUBJ_181</t>
  </si>
  <si>
    <t>SUBJ_182</t>
  </si>
  <si>
    <t>SUBJ_183</t>
  </si>
  <si>
    <t>SUBJ_184</t>
  </si>
  <si>
    <t>SUBJ_185</t>
  </si>
  <si>
    <t>SUBJ_186</t>
  </si>
  <si>
    <t>SUBJ_187</t>
  </si>
  <si>
    <t>SUBJ_188</t>
  </si>
  <si>
    <t>SUBJ_189</t>
  </si>
  <si>
    <t>SUBJ_190</t>
  </si>
  <si>
    <t>SUBJ_191</t>
  </si>
  <si>
    <t>SUBJ_192</t>
  </si>
  <si>
    <t>SUBJ_193</t>
  </si>
  <si>
    <t>SUBJ_194</t>
  </si>
  <si>
    <t>SUBJ_195</t>
  </si>
  <si>
    <t>SUBJ_196</t>
  </si>
  <si>
    <t>SUBJ_197</t>
  </si>
  <si>
    <t>SUBJ_198</t>
  </si>
  <si>
    <t>SUBJ_199</t>
  </si>
  <si>
    <t>SUBJ_200</t>
  </si>
  <si>
    <t>SUBJ_201</t>
  </si>
  <si>
    <t>SUBJ_202</t>
  </si>
  <si>
    <t>SUBJ_203</t>
  </si>
  <si>
    <t>SUBJ_204</t>
  </si>
  <si>
    <t>SUBJ_205</t>
  </si>
  <si>
    <t>SUBJ_206</t>
  </si>
  <si>
    <t>SUBJ_207</t>
  </si>
  <si>
    <t>SUBJ_208</t>
  </si>
  <si>
    <t>SUBJ_209</t>
  </si>
  <si>
    <t>SUBJ_210</t>
  </si>
  <si>
    <t>SUBJ_211</t>
  </si>
  <si>
    <t>SUBJ_212</t>
  </si>
  <si>
    <t>SUBJ_213</t>
  </si>
  <si>
    <t>SUBJ_214</t>
  </si>
  <si>
    <t>SUBJ_215</t>
  </si>
  <si>
    <t>SUBJ_216</t>
  </si>
  <si>
    <t>SUBJ_217</t>
  </si>
  <si>
    <t>SUBJ_218</t>
  </si>
  <si>
    <t>SUBJ_219</t>
  </si>
  <si>
    <t>SUBJ_220</t>
  </si>
  <si>
    <t>SUBJ_221</t>
  </si>
  <si>
    <t>SUBJ_222</t>
  </si>
  <si>
    <t>SUBJ_223</t>
  </si>
  <si>
    <t>SUBJ_224</t>
  </si>
  <si>
    <t>SUBJ_225</t>
  </si>
  <si>
    <t>SUBJ_226</t>
  </si>
  <si>
    <t>SUBJ_227</t>
  </si>
  <si>
    <t>SUBJ_228</t>
  </si>
  <si>
    <t>SUBJ_229</t>
  </si>
  <si>
    <t>SUBJ_230</t>
  </si>
  <si>
    <t>SUBJ_231</t>
  </si>
  <si>
    <t>SUBJ_232</t>
  </si>
  <si>
    <t>SUBJ_233</t>
  </si>
  <si>
    <t>SUBJ_234</t>
  </si>
  <si>
    <t>SUBJ_235</t>
  </si>
  <si>
    <t>SUBJ_236</t>
  </si>
  <si>
    <t>SUBJ_237</t>
  </si>
  <si>
    <t>SUBJ_238</t>
  </si>
  <si>
    <t>SUBJ_239</t>
  </si>
  <si>
    <t>SUBJ_240</t>
  </si>
  <si>
    <t>SUBJ_241</t>
  </si>
  <si>
    <t>SUBJ_242</t>
  </si>
  <si>
    <t>SUBJ_243</t>
  </si>
  <si>
    <t>SUBJ_244</t>
  </si>
  <si>
    <t>SUBJ_245</t>
  </si>
  <si>
    <t>SUBJ_246</t>
  </si>
  <si>
    <t>SUBJ_247</t>
  </si>
  <si>
    <t>SUBJ_248</t>
  </si>
  <si>
    <t>SUBJ_249</t>
  </si>
  <si>
    <t>SUBJ_250</t>
  </si>
  <si>
    <t>SUBJ_251</t>
  </si>
  <si>
    <t>SUBJ_252</t>
  </si>
  <si>
    <t>SUBJ_253</t>
  </si>
  <si>
    <t>SUBJ_254</t>
  </si>
  <si>
    <t>SUBJ_255</t>
  </si>
  <si>
    <t>SUBJ_256</t>
  </si>
  <si>
    <t>SUBJ_257</t>
  </si>
  <si>
    <t>SUBJ_258</t>
  </si>
  <si>
    <t>SUBJ_259</t>
  </si>
  <si>
    <t>SUBJ_260</t>
  </si>
  <si>
    <t>SUBJ_261</t>
  </si>
  <si>
    <t>SUBJ_262</t>
  </si>
  <si>
    <t>SUBJ_263</t>
  </si>
  <si>
    <t>SUBJ_264</t>
  </si>
  <si>
    <t>SUBJ_265</t>
  </si>
  <si>
    <t>SUBJ_266</t>
  </si>
  <si>
    <t>SUBJ_267</t>
  </si>
  <si>
    <t>SUBJ_268</t>
  </si>
  <si>
    <t>SUBJ_269</t>
  </si>
  <si>
    <t>SUBJ_270</t>
  </si>
  <si>
    <t>SUBJ_271</t>
  </si>
  <si>
    <t>SUBJ_272</t>
  </si>
  <si>
    <t>SUBJ_273</t>
  </si>
  <si>
    <t>SUBJ_274</t>
  </si>
  <si>
    <t>SUBJ_275</t>
  </si>
  <si>
    <t>SUBJ_276</t>
  </si>
  <si>
    <t>SUBJ_277</t>
  </si>
  <si>
    <t>SUBJ_278</t>
  </si>
  <si>
    <t>SUBJ_279</t>
  </si>
  <si>
    <t>SUBJ_280</t>
  </si>
  <si>
    <t>SUBJ_281</t>
  </si>
  <si>
    <t>SUBJ_282</t>
  </si>
  <si>
    <t>SUBJ_283</t>
  </si>
  <si>
    <t>SUBJ_284</t>
  </si>
  <si>
    <t>SUBJ_285</t>
  </si>
  <si>
    <t>SUBJ_286</t>
  </si>
  <si>
    <t>SUBJ_287</t>
  </si>
  <si>
    <t>SUBJ_288</t>
  </si>
  <si>
    <t>SUBJ_289</t>
  </si>
  <si>
    <t>SUBJ_290</t>
  </si>
  <si>
    <t>SUBJ_291</t>
  </si>
  <si>
    <t>SUBJ_292</t>
  </si>
  <si>
    <t>SUBJ_293</t>
  </si>
  <si>
    <t>SUBJ_294</t>
  </si>
  <si>
    <t>SUBJ_295</t>
  </si>
  <si>
    <t>SUBJ_296</t>
  </si>
  <si>
    <t>SUBJ_297</t>
  </si>
  <si>
    <t>SUBJ_298</t>
  </si>
  <si>
    <t>SUBJ_299</t>
  </si>
  <si>
    <t>SUBJ_300</t>
  </si>
  <si>
    <t>SUBJ_301</t>
  </si>
  <si>
    <t>SUBJ_302</t>
  </si>
  <si>
    <t>SUBJ_303</t>
  </si>
  <si>
    <t>SUBJ_304</t>
  </si>
  <si>
    <t>SUBJ_305</t>
  </si>
  <si>
    <t>SUBJ_306</t>
  </si>
  <si>
    <t>SUBJ_307</t>
  </si>
  <si>
    <t>SUBJ_308</t>
  </si>
  <si>
    <t>SUBJ_309</t>
  </si>
  <si>
    <t>SUBJ_310</t>
  </si>
  <si>
    <t>SUBJ_311</t>
  </si>
  <si>
    <t>SUBJ_312</t>
  </si>
  <si>
    <t>SUBJ_313</t>
  </si>
  <si>
    <t>SUBJ_314</t>
  </si>
  <si>
    <t>SUBJ_315</t>
  </si>
  <si>
    <t>SUBJ_316</t>
  </si>
  <si>
    <t>SUBJ_317</t>
  </si>
  <si>
    <t>SUBJ_318</t>
  </si>
  <si>
    <t>SUBJ_319</t>
  </si>
  <si>
    <t>SUBJ_320</t>
  </si>
  <si>
    <t>SUBJ_321</t>
  </si>
  <si>
    <t>SUBJ_322</t>
  </si>
  <si>
    <t>SUBJ_323</t>
  </si>
  <si>
    <t>SUBJ_324</t>
  </si>
  <si>
    <t>SUBJ_325</t>
  </si>
  <si>
    <t>SUBJ_326</t>
  </si>
  <si>
    <t>SUBJ_327</t>
  </si>
  <si>
    <t>SUBJ_328</t>
  </si>
  <si>
    <t>SUBJ_329</t>
  </si>
  <si>
    <t>SUBJ_330</t>
  </si>
  <si>
    <t>SUBJ_331</t>
  </si>
  <si>
    <t>SUBJ_332</t>
  </si>
  <si>
    <t>SUBJ_333</t>
  </si>
  <si>
    <t>SUBJ_334</t>
  </si>
  <si>
    <t>SUBJ_335</t>
  </si>
  <si>
    <t>SUBJ_336</t>
  </si>
  <si>
    <t>SUBJ_337</t>
  </si>
  <si>
    <t>SUBJ_338</t>
  </si>
  <si>
    <t>SUBJ_339</t>
  </si>
  <si>
    <t>SUBJ_340</t>
  </si>
  <si>
    <t>SUBJ_341</t>
  </si>
  <si>
    <t>SUBJ_342</t>
  </si>
  <si>
    <t>SUBJ_343</t>
  </si>
  <si>
    <t>SUBJ_344</t>
  </si>
  <si>
    <t>SUBJ_345</t>
  </si>
  <si>
    <t>SUBJ_346</t>
  </si>
  <si>
    <t>SUBJ_347</t>
  </si>
  <si>
    <t>SUBJ_348</t>
  </si>
  <si>
    <t>SUBJ_349</t>
  </si>
  <si>
    <t>SUBJ_350</t>
  </si>
  <si>
    <t>SUBJ_351</t>
  </si>
  <si>
    <t>SUBJ_352</t>
  </si>
  <si>
    <t>SUBJ_353</t>
  </si>
  <si>
    <t>SUBJ_354</t>
  </si>
  <si>
    <t>SUBJ_355</t>
  </si>
  <si>
    <t>SUBJ_356</t>
  </si>
  <si>
    <t>SUBJ_357</t>
  </si>
  <si>
    <t>SUBJ_358</t>
  </si>
  <si>
    <t>SUBJ_359</t>
  </si>
  <si>
    <t>SUBJ_360</t>
  </si>
  <si>
    <t>SUBJ_361</t>
  </si>
  <si>
    <t>SUBJ_362</t>
  </si>
  <si>
    <t>SUBJ_363</t>
  </si>
  <si>
    <t>SUBJ_364</t>
  </si>
  <si>
    <t>SUBJ_365</t>
  </si>
  <si>
    <t>SUBJ_366</t>
  </si>
  <si>
    <t>SUBJ_367</t>
  </si>
  <si>
    <t>SUBJ_368</t>
  </si>
  <si>
    <t>SUBJ_369</t>
  </si>
  <si>
    <t>SUBJ_370</t>
  </si>
  <si>
    <t>SUBJ_371</t>
  </si>
  <si>
    <t>SUBJ_372</t>
  </si>
  <si>
    <t>SUBJ_373</t>
  </si>
  <si>
    <t>SUBJ_374</t>
  </si>
  <si>
    <t>SUBJ_375</t>
  </si>
  <si>
    <t>SUBJ_376</t>
  </si>
  <si>
    <t>SUBJ_377</t>
  </si>
  <si>
    <t>SUBJ_378</t>
  </si>
  <si>
    <t>SUBJ_379</t>
  </si>
  <si>
    <t>SUBJ_380</t>
  </si>
  <si>
    <t>SUBJ_381</t>
  </si>
  <si>
    <t>SUBJ_382</t>
  </si>
  <si>
    <t>SUBJ_383</t>
  </si>
  <si>
    <t>SUBJ_384</t>
  </si>
  <si>
    <t>SUBJ_385</t>
  </si>
  <si>
    <t>SUBJ_386</t>
  </si>
  <si>
    <t>SUBJ_387</t>
  </si>
  <si>
    <t>SUBJ_388</t>
  </si>
  <si>
    <t>SUBJ_389</t>
  </si>
  <si>
    <t>SUBJ_390</t>
  </si>
  <si>
    <t>SUBJ_391</t>
  </si>
  <si>
    <t>SUBJ_392</t>
  </si>
  <si>
    <t>SUBJ_393</t>
  </si>
  <si>
    <t>SUBJ_394</t>
  </si>
  <si>
    <t>SUBJ_395</t>
  </si>
  <si>
    <t>SUBJ_396</t>
  </si>
  <si>
    <t>SUBJ_397</t>
  </si>
  <si>
    <t>SUBJ_398</t>
  </si>
  <si>
    <t>SUBJ_399</t>
  </si>
  <si>
    <t>SUBJ_400</t>
  </si>
  <si>
    <t>SUBJ_401</t>
  </si>
  <si>
    <t>SUBJ_402</t>
  </si>
  <si>
    <t>SUBJ_403</t>
  </si>
  <si>
    <t>SUBJ_404</t>
  </si>
  <si>
    <t>SUBJ_405</t>
  </si>
  <si>
    <t>SUBJ_406</t>
  </si>
  <si>
    <t>SUBJ_407</t>
  </si>
  <si>
    <t>SUBJ_408</t>
  </si>
  <si>
    <t>SUBJ_409</t>
  </si>
  <si>
    <t>SUBJ_410</t>
  </si>
  <si>
    <t>SUBJ_411</t>
  </si>
  <si>
    <t>SUBJ_412</t>
  </si>
  <si>
    <t>SUBJ_413</t>
  </si>
  <si>
    <t>SUBJ_414</t>
  </si>
  <si>
    <t>SUBJ_415</t>
  </si>
  <si>
    <t>SUBJ_416</t>
  </si>
  <si>
    <t>SUBJ_417</t>
  </si>
  <si>
    <t>SUBJ_418</t>
  </si>
  <si>
    <t>SUBJ_419</t>
  </si>
  <si>
    <t>SUBJ_420</t>
  </si>
  <si>
    <t>SUBJ_421</t>
  </si>
  <si>
    <t>SUBJ_422</t>
  </si>
  <si>
    <t>SUBJ_423</t>
  </si>
  <si>
    <t>SUBJ_424</t>
  </si>
  <si>
    <t>SUBJ_425</t>
  </si>
  <si>
    <t>SUBJ_426</t>
  </si>
  <si>
    <t>SUBJ_427</t>
  </si>
  <si>
    <t>SUBJ_428</t>
  </si>
  <si>
    <t>SUBJ_429</t>
  </si>
  <si>
    <t>SUBJ_430</t>
  </si>
  <si>
    <t>SUBJ_431</t>
  </si>
  <si>
    <t>SUBJ_432</t>
  </si>
  <si>
    <t>SUBJ_433</t>
  </si>
  <si>
    <t>SUBJ_434</t>
  </si>
  <si>
    <t>SUBJ_435</t>
  </si>
  <si>
    <t>SUBJ_436</t>
  </si>
  <si>
    <t>SUBJ_437</t>
  </si>
  <si>
    <t>SUBJ_438</t>
  </si>
  <si>
    <t>SUBJ_439</t>
  </si>
  <si>
    <t>SUBJ_440</t>
  </si>
  <si>
    <t>SUBJ_441</t>
  </si>
  <si>
    <t>SUBJ_442</t>
  </si>
  <si>
    <t>SUBJ_443</t>
  </si>
  <si>
    <t>SUBJ_444</t>
  </si>
  <si>
    <t>SUBJ_445</t>
  </si>
  <si>
    <t>SUBJ_446</t>
  </si>
  <si>
    <t>SUBJ_447</t>
  </si>
  <si>
    <t>SUBJ_448</t>
  </si>
  <si>
    <t>SUBJ_449</t>
  </si>
  <si>
    <t>SUBJ_450</t>
  </si>
  <si>
    <t>SUBJ_451</t>
  </si>
  <si>
    <t>SUBJ_452</t>
  </si>
  <si>
    <t>SUBJ_453</t>
  </si>
  <si>
    <t>SUBJ_454</t>
  </si>
  <si>
    <t>SUBJ_455</t>
  </si>
  <si>
    <t>SUBJ_456</t>
  </si>
  <si>
    <t>SUBJ_457</t>
  </si>
  <si>
    <t>SUBJ_458</t>
  </si>
  <si>
    <t>SUBJ_459</t>
  </si>
  <si>
    <t>SUBJ_460</t>
  </si>
  <si>
    <t>SUBJ_461</t>
  </si>
  <si>
    <t>SUBJ_462</t>
  </si>
  <si>
    <t>SUBJ_463</t>
  </si>
  <si>
    <t>SUBJ_464</t>
  </si>
  <si>
    <t>SUBJ_465</t>
  </si>
  <si>
    <t>SUBJ_466</t>
  </si>
  <si>
    <t>SUBJ_467</t>
  </si>
  <si>
    <t>SUBJ_468</t>
  </si>
  <si>
    <t>SUBJ_469</t>
  </si>
  <si>
    <t>SUBJ_470</t>
  </si>
  <si>
    <t>SUBJ_471</t>
  </si>
  <si>
    <t>SUBJ_472</t>
  </si>
  <si>
    <t>SUBJ_473</t>
  </si>
  <si>
    <t>SUBJ_474</t>
  </si>
  <si>
    <t>SUBJ_475</t>
  </si>
  <si>
    <t>SUBJ_476</t>
  </si>
  <si>
    <t>SUBJ_477</t>
  </si>
  <si>
    <t>SUBJ_478</t>
  </si>
  <si>
    <t>SUBJ_479</t>
  </si>
  <si>
    <t>SUBJ_480</t>
  </si>
  <si>
    <t>SUBJ_481</t>
  </si>
  <si>
    <t>SUBJ_482</t>
  </si>
  <si>
    <t>SUBJ_483</t>
  </si>
  <si>
    <t>SUBJ_484</t>
  </si>
  <si>
    <t>SUBJ_485</t>
  </si>
  <si>
    <t>SUBJ_486</t>
  </si>
  <si>
    <t>SUBJ_487</t>
  </si>
  <si>
    <t>SUBJ_488</t>
  </si>
  <si>
    <t>SUBJ_489</t>
  </si>
  <si>
    <t>SUBJ_490</t>
  </si>
  <si>
    <t>SUBJ_491</t>
  </si>
  <si>
    <t>SUBJ_492</t>
  </si>
  <si>
    <t>SUBJ_493</t>
  </si>
  <si>
    <t>SUBJ_494</t>
  </si>
  <si>
    <t>SUBJ_495</t>
  </si>
  <si>
    <t>SUBJ_496</t>
  </si>
  <si>
    <t>SUBJ_497</t>
  </si>
  <si>
    <t>SUBJ_498</t>
  </si>
  <si>
    <t>SUBJ_499</t>
  </si>
  <si>
    <t>SUBJ_500</t>
  </si>
  <si>
    <t>SUBJ_501</t>
  </si>
  <si>
    <t>SUBJ_502</t>
  </si>
  <si>
    <t>SUBJ_503</t>
  </si>
  <si>
    <t>SUBJ_504</t>
  </si>
  <si>
    <t>SUBJ_505</t>
  </si>
  <si>
    <t>SUBJ_506</t>
  </si>
  <si>
    <t>SUBJ_507</t>
  </si>
  <si>
    <t>SUBJ_508</t>
  </si>
  <si>
    <t>SUBJ_509</t>
  </si>
  <si>
    <t>SUBJ_510</t>
  </si>
  <si>
    <t>SUBJ_511</t>
  </si>
  <si>
    <t>SUBJ_512</t>
  </si>
  <si>
    <t>SUBJ_513</t>
  </si>
  <si>
    <t>SUBJ_514</t>
  </si>
  <si>
    <t>SUBJ_515</t>
  </si>
  <si>
    <t>SUBJ_516</t>
  </si>
  <si>
    <t>SUBJ_517</t>
  </si>
  <si>
    <t>SUBJ_518</t>
  </si>
  <si>
    <t>SUBJ_519</t>
  </si>
  <si>
    <t>SUBJ_520</t>
  </si>
  <si>
    <t>SUBJ_521</t>
  </si>
  <si>
    <t>SUBJ_522</t>
  </si>
  <si>
    <t>SUBJ_523</t>
  </si>
  <si>
    <t>SUBJ_524</t>
  </si>
  <si>
    <t>SUBJ_525</t>
  </si>
  <si>
    <t>SUBJ_526</t>
  </si>
  <si>
    <t>SUBJ_527</t>
  </si>
  <si>
    <t>SUBJ_528</t>
  </si>
  <si>
    <t>SUBJ_529</t>
  </si>
  <si>
    <t>SUBJ_530</t>
  </si>
  <si>
    <t>SUBJ_531</t>
  </si>
  <si>
    <t>SUBJ_532</t>
  </si>
  <si>
    <t>SUBJ_533</t>
  </si>
  <si>
    <t>SUBJ_534</t>
  </si>
  <si>
    <t>SUBJ_535</t>
  </si>
  <si>
    <t>SUBJ_536</t>
  </si>
  <si>
    <t>SUBJ_537</t>
  </si>
  <si>
    <t>SUBJ_538</t>
  </si>
  <si>
    <t>SUBJ_539</t>
  </si>
  <si>
    <t>SUBJ_540</t>
  </si>
  <si>
    <t>SUBJ_541</t>
  </si>
  <si>
    <t>SUBJ_542</t>
  </si>
  <si>
    <t>SUBJ_543</t>
  </si>
  <si>
    <t>SUBJ_544</t>
  </si>
  <si>
    <t>SUBJ_545</t>
  </si>
  <si>
    <t>SUBJ_546</t>
  </si>
  <si>
    <t>SUBJ_547</t>
  </si>
  <si>
    <t>SUBJ_548</t>
  </si>
  <si>
    <t>SUBJ_549</t>
  </si>
  <si>
    <t>SUBJ_550</t>
  </si>
  <si>
    <t>SUBJ_551</t>
  </si>
  <si>
    <t>SUBJ_552</t>
  </si>
  <si>
    <t>SUBJ_553</t>
  </si>
  <si>
    <t>SUBJ_554</t>
  </si>
  <si>
    <t>SUBJ_555</t>
  </si>
  <si>
    <t>SUBJ_556</t>
  </si>
  <si>
    <t>SUBJ_557</t>
  </si>
  <si>
    <t>SUBJ_558</t>
  </si>
  <si>
    <t>SUBJ_559</t>
  </si>
  <si>
    <t>SUBJ_560</t>
  </si>
  <si>
    <t>SUBJ_561</t>
  </si>
  <si>
    <t>SUBJ_562</t>
  </si>
  <si>
    <t>SUBJ_563</t>
  </si>
  <si>
    <t>SUBJ_564</t>
  </si>
  <si>
    <t>SUBJ_565</t>
  </si>
  <si>
    <t>SUBJ_566</t>
  </si>
  <si>
    <t>SUBJ_567</t>
  </si>
  <si>
    <t>SUBJ_568</t>
  </si>
  <si>
    <t>SUBJ_569</t>
  </si>
  <si>
    <t>SUBJ_570</t>
  </si>
  <si>
    <t>SUBJ_571</t>
  </si>
  <si>
    <t>SUBJ_572</t>
  </si>
  <si>
    <t>SUBJ_573</t>
  </si>
  <si>
    <t>SUBJ_574</t>
  </si>
  <si>
    <t>SUBJ_575</t>
  </si>
  <si>
    <t>SUBJ_576</t>
  </si>
  <si>
    <t>SUBJ_577</t>
  </si>
  <si>
    <t>SUBJ_578</t>
  </si>
  <si>
    <t>SUBJ_579</t>
  </si>
  <si>
    <t>SUBJ_580</t>
  </si>
  <si>
    <t>SUBJ_581</t>
  </si>
  <si>
    <t>SUBJ_582</t>
  </si>
  <si>
    <t>SUBJ_583</t>
  </si>
  <si>
    <t>SUBJ_584</t>
  </si>
  <si>
    <t>SUBJ_585</t>
  </si>
  <si>
    <t>SUBJ_586</t>
  </si>
  <si>
    <t>SUBJ_587</t>
  </si>
  <si>
    <t>SUBJ_588</t>
  </si>
  <si>
    <t>SUBJ_589</t>
  </si>
  <si>
    <t>SUBJ_590</t>
  </si>
  <si>
    <t>SUBJ_591</t>
  </si>
  <si>
    <t>SUBJ_592</t>
  </si>
  <si>
    <t>SUBJ_593</t>
  </si>
  <si>
    <t>SUBJ_594</t>
  </si>
  <si>
    <t>SUBJ_595</t>
  </si>
  <si>
    <t>SUBJ_596</t>
  </si>
  <si>
    <t>SUBJ_597</t>
  </si>
  <si>
    <t>SUBJ_598</t>
  </si>
  <si>
    <t>SUBJ_599</t>
  </si>
  <si>
    <t>SUBJ_600</t>
  </si>
  <si>
    <t>SUBJ_601</t>
  </si>
  <si>
    <t>SUBJ_602</t>
  </si>
  <si>
    <t>SUBJ_603</t>
  </si>
  <si>
    <t>SUBJ_604</t>
  </si>
  <si>
    <t>SUBJ_605</t>
  </si>
  <si>
    <t>SUBJ_606</t>
  </si>
  <si>
    <t>SUBJ_607</t>
  </si>
  <si>
    <t>SUBJ_608</t>
  </si>
  <si>
    <t>SUBJ_609</t>
  </si>
  <si>
    <t>SUBJ_610</t>
  </si>
  <si>
    <t>SUBJ_611</t>
  </si>
  <si>
    <t>SUBJ_612</t>
  </si>
  <si>
    <t>SUBJ_613</t>
  </si>
  <si>
    <t>SUBJ_614</t>
  </si>
  <si>
    <t>SUBJ_615</t>
  </si>
  <si>
    <t>SUBJ_616</t>
  </si>
  <si>
    <t>SUBJ_617</t>
  </si>
  <si>
    <t>SUBJ_618</t>
  </si>
  <si>
    <t>SUBJ_619</t>
  </si>
  <si>
    <t>SUBJ_620</t>
  </si>
  <si>
    <t>SUBJ_621</t>
  </si>
  <si>
    <t>SUBJ_622</t>
  </si>
  <si>
    <t>SUBJ_623</t>
  </si>
  <si>
    <t>SUBJ_624</t>
  </si>
  <si>
    <t>SUBJ_625</t>
  </si>
  <si>
    <t>SUBJ_626</t>
  </si>
  <si>
    <t>SUBJ_627</t>
  </si>
  <si>
    <t>SUBJ_628</t>
  </si>
  <si>
    <t>SUBJ_629</t>
  </si>
  <si>
    <t>SUBJ_630</t>
  </si>
  <si>
    <t>SUBJ_631</t>
  </si>
  <si>
    <t>SUBJ_632</t>
  </si>
  <si>
    <t>SUBJ_633</t>
  </si>
  <si>
    <t>SUBJ_634</t>
  </si>
  <si>
    <t>SUBJ_635</t>
  </si>
  <si>
    <t>SUBJ_636</t>
  </si>
  <si>
    <t>SUBJ_637</t>
  </si>
  <si>
    <t>SUBJ_638</t>
  </si>
  <si>
    <t>SUBJ_639</t>
  </si>
  <si>
    <t>SUBJ_640</t>
  </si>
  <si>
    <t>SUBJ_641</t>
  </si>
  <si>
    <t>SUBJ_642</t>
  </si>
  <si>
    <t>SUBJ_643</t>
  </si>
  <si>
    <t>SUBJ_644</t>
  </si>
  <si>
    <t>SUBJ_645</t>
  </si>
  <si>
    <t>SUBJ_646</t>
  </si>
  <si>
    <t>SUBJ_647</t>
  </si>
  <si>
    <t>SUBJ_648</t>
  </si>
  <si>
    <t>SUBJ_649</t>
  </si>
  <si>
    <t>SUBJ_650</t>
  </si>
  <si>
    <t>SUBJ_651</t>
  </si>
  <si>
    <t>SUBJ_652</t>
  </si>
  <si>
    <t>SUBJ_653</t>
  </si>
  <si>
    <t>SUBJ_654</t>
  </si>
  <si>
    <t>SUBJ_655</t>
  </si>
  <si>
    <t>SUBJ_656</t>
  </si>
  <si>
    <t>SUBJ_657</t>
  </si>
  <si>
    <t>SUBJ_658</t>
  </si>
  <si>
    <t>SUBJ_659</t>
  </si>
  <si>
    <t>SUBJ_660</t>
  </si>
  <si>
    <t>SUBJ_661</t>
  </si>
  <si>
    <t>SUBJ_662</t>
  </si>
  <si>
    <t>SUBJ_663</t>
  </si>
  <si>
    <t>SUBJ_664</t>
  </si>
  <si>
    <t>SUBJ_665</t>
  </si>
  <si>
    <t>SUBJ_666</t>
  </si>
  <si>
    <t>SUBJ_667</t>
  </si>
  <si>
    <t>SUBJ_668</t>
  </si>
  <si>
    <t>SUBJ_669</t>
  </si>
  <si>
    <t>SUBJ_670</t>
  </si>
  <si>
    <t>SUBJ_671</t>
  </si>
  <si>
    <t>SUBJ_672</t>
  </si>
  <si>
    <t>SUBJ_673</t>
  </si>
  <si>
    <t>SUBJ_674</t>
  </si>
  <si>
    <t>SUBJ_675</t>
  </si>
  <si>
    <t>SUBJ_676</t>
  </si>
  <si>
    <t>SUBJ_677</t>
  </si>
  <si>
    <t>SUBJ_678</t>
  </si>
  <si>
    <t>SUBJ_679</t>
  </si>
  <si>
    <t>SUBJ_680</t>
  </si>
  <si>
    <t>SUBJ_681</t>
  </si>
  <si>
    <t>SUBJ_682</t>
  </si>
  <si>
    <t>SUBJ_683</t>
  </si>
  <si>
    <t>SUBJ_684</t>
  </si>
  <si>
    <t>SUBJ_685</t>
  </si>
  <si>
    <t>SUBJ_686</t>
  </si>
  <si>
    <t>SUBJ_687</t>
  </si>
  <si>
    <t>SUBJ_688</t>
  </si>
  <si>
    <t>SUBJ_689</t>
  </si>
  <si>
    <t>SUBJ_690</t>
  </si>
  <si>
    <t>SUBJ_691</t>
  </si>
  <si>
    <t>SUBJ_692</t>
  </si>
  <si>
    <t>SUBJ_693</t>
  </si>
  <si>
    <t>SUBJ_694</t>
  </si>
  <si>
    <t>SUBJ_695</t>
  </si>
  <si>
    <t>SUBJ_696</t>
  </si>
  <si>
    <t>SUBJ_697</t>
  </si>
  <si>
    <t>SUBJ_698</t>
  </si>
  <si>
    <t>SUBJ_699</t>
  </si>
  <si>
    <t>SUBJ_700</t>
  </si>
  <si>
    <t>SUBJ_701</t>
  </si>
  <si>
    <t>SUBJ_702</t>
  </si>
  <si>
    <t>SUBJ_703</t>
  </si>
  <si>
    <t>SUBJ_704</t>
  </si>
  <si>
    <t>SUBJ_705</t>
  </si>
  <si>
    <t>SUBJ_706</t>
  </si>
  <si>
    <t>SUBJ_707</t>
  </si>
  <si>
    <t>SUBJ_708</t>
  </si>
  <si>
    <t>SUBJ_709</t>
  </si>
  <si>
    <t>SUBJ_710</t>
  </si>
  <si>
    <t>SUBJ_711</t>
  </si>
  <si>
    <t>SUBJ_712</t>
  </si>
  <si>
    <t>SUBJ_713</t>
  </si>
  <si>
    <t>SUBJ_714</t>
  </si>
  <si>
    <t>SUBJ_715</t>
  </si>
  <si>
    <t>SUBJ_716</t>
  </si>
  <si>
    <t>SUBJ_717</t>
  </si>
  <si>
    <t>SUBJ_718</t>
  </si>
  <si>
    <t>SUBJ_719</t>
  </si>
  <si>
    <t>SUBJ_720</t>
  </si>
  <si>
    <t>SUBJ_721</t>
  </si>
  <si>
    <t>SUBJ_722</t>
  </si>
  <si>
    <t>SUBJ_723</t>
  </si>
  <si>
    <t>SUBJ_724</t>
  </si>
  <si>
    <t>SUBJ_725</t>
  </si>
  <si>
    <t>SUBJ_726</t>
  </si>
  <si>
    <t>SUBJ_727</t>
  </si>
  <si>
    <t>SUBJ_728</t>
  </si>
  <si>
    <t>SUBJ_729</t>
  </si>
  <si>
    <t>SUBJ_730</t>
  </si>
  <si>
    <t>SUBJ_731</t>
  </si>
  <si>
    <t>SUBJ_732</t>
  </si>
  <si>
    <t>SUBJ_733</t>
  </si>
  <si>
    <t>SUBJ_734</t>
  </si>
  <si>
    <t>SUBJ_735</t>
  </si>
  <si>
    <t>SUBJ_736</t>
  </si>
  <si>
    <t>SUBJ_737</t>
  </si>
  <si>
    <t>SUBJ_738</t>
  </si>
  <si>
    <t>SUBJ_739</t>
  </si>
  <si>
    <t>SUBJ_740</t>
  </si>
  <si>
    <t>SUBJ_741</t>
  </si>
  <si>
    <t>SUBJ_742</t>
  </si>
  <si>
    <t>SUBJ_743</t>
  </si>
  <si>
    <t>SUBJ_744</t>
  </si>
  <si>
    <t>SUBJ_745</t>
  </si>
  <si>
    <t>SUBJ_746</t>
  </si>
  <si>
    <t>SUBJ_747</t>
  </si>
  <si>
    <t>SUBJ_748</t>
  </si>
  <si>
    <t>SUBJ_749</t>
  </si>
  <si>
    <t>SUBJ_750</t>
  </si>
  <si>
    <t>SUBJ_751</t>
  </si>
  <si>
    <t>SUBJ_752</t>
  </si>
  <si>
    <t>SUBJ_753</t>
  </si>
  <si>
    <t>SUBJ_754</t>
  </si>
  <si>
    <t>SUBJ_755</t>
  </si>
  <si>
    <t>SUBJ_756</t>
  </si>
  <si>
    <t>SUBJ_757</t>
  </si>
  <si>
    <t>SUBJ_758</t>
  </si>
  <si>
    <t>SUBJ_759</t>
  </si>
  <si>
    <t>SUBJ_760</t>
  </si>
  <si>
    <t>SUBJ_761</t>
  </si>
  <si>
    <t>SUBJ_762</t>
  </si>
  <si>
    <t>SUBJ_763</t>
  </si>
  <si>
    <t>SUBJ_764</t>
  </si>
  <si>
    <t>SUBJ_765</t>
  </si>
  <si>
    <t>SUBJ_766</t>
  </si>
  <si>
    <t>SUBJ_767</t>
  </si>
  <si>
    <t>SUBJ_768</t>
  </si>
  <si>
    <t>SUBJ_A69</t>
  </si>
  <si>
    <t>SUBJ_A70</t>
  </si>
  <si>
    <t>SUBJ_A71</t>
  </si>
  <si>
    <t>AVERAGE of protein_concentration</t>
  </si>
  <si>
    <t>Non-Responder</t>
  </si>
  <si>
    <t>Responder</t>
  </si>
  <si>
    <t>Grand Total</t>
  </si>
  <si>
    <t>AVERAGE of BMI</t>
  </si>
  <si>
    <t>AVERAGE of age</t>
  </si>
  <si>
    <t>COUNTA of subject_id</t>
  </si>
  <si>
    <t>participant_id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</si>
</sst>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Font="1"/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3">
    <tableStyle count="4" pivot="0" name="clinical_stu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1-style">
      <tableStyleElement dxfId="5" type="headerRow"/>
      <tableStyleElement dxfId="6" type="firstRowStripe"/>
      <tableStyleElement dxfId="2" type="secondRowStripe"/>
    </tableStyle>
    <tableStyle count="4" pivot="0" name="protein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Protein Concentration by Response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response_vs_proteinconcentratio!$B$1</c:f>
            </c:strRef>
          </c:tx>
          <c:spPr>
            <a:solidFill>
              <a:srgbClr val="F9CB9C"/>
            </a:solidFill>
            <a:ln cmpd="sng">
              <a:solidFill>
                <a:schemeClr val="accent5"/>
              </a:solidFill>
            </a:ln>
          </c:spPr>
          <c:cat>
            <c:strRef>
              <c:f>response_vs_proteinconcentratio!$A$2:$A$3</c:f>
            </c:strRef>
          </c:cat>
          <c:val>
            <c:numRef>
              <c:f>response_vs_proteinconcentratio!$B$2:$B$3</c:f>
              <c:numCache/>
            </c:numRef>
          </c:val>
        </c:ser>
        <c:axId val="190662273"/>
        <c:axId val="1866232193"/>
      </c:barChart>
      <c:catAx>
        <c:axId val="1906622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232193"/>
      </c:catAx>
      <c:valAx>
        <c:axId val="18662321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protein_concentration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622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BMI of Responders vs Non-Responders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response_vs_bmi_pivot!$B$1</c:f>
            </c:strRef>
          </c:tx>
          <c:spPr>
            <a:solidFill>
              <a:srgbClr val="F9CB9C"/>
            </a:solidFill>
            <a:ln cmpd="sng">
              <a:solidFill>
                <a:schemeClr val="accent5"/>
              </a:solidFill>
            </a:ln>
          </c:spPr>
          <c:cat>
            <c:strRef>
              <c:f>response_vs_bmi_pivot!$A$2:$A$3</c:f>
            </c:strRef>
          </c:cat>
          <c:val>
            <c:numRef>
              <c:f>response_vs_bmi_pivot!$B$2:$B$3</c:f>
              <c:numCache/>
            </c:numRef>
          </c:val>
        </c:ser>
        <c:axId val="1494944525"/>
        <c:axId val="1416946725"/>
      </c:barChart>
      <c:catAx>
        <c:axId val="1494944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946725"/>
      </c:catAx>
      <c:valAx>
        <c:axId val="1416946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BMI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944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Age of Responders vs Non-Responders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response_vs_age_pivot!$B$1</c:f>
            </c:strRef>
          </c:tx>
          <c:spPr>
            <a:solidFill>
              <a:srgbClr val="F9CB9C"/>
            </a:solidFill>
            <a:ln cmpd="sng">
              <a:solidFill>
                <a:srgbClr val="FF9900">
                  <a:alpha val="100000"/>
                </a:srgbClr>
              </a:solidFill>
            </a:ln>
          </c:spPr>
          <c:cat>
            <c:strRef>
              <c:f>response_vs_age_pivot!$A$2:$A$4</c:f>
            </c:strRef>
          </c:cat>
          <c:val>
            <c:numRef>
              <c:f>response_vs_age_pivot!$B$2:$B$4</c:f>
              <c:numCache/>
            </c:numRef>
          </c:val>
        </c:ser>
        <c:axId val="1416033686"/>
        <c:axId val="434586595"/>
      </c:barChart>
      <c:catAx>
        <c:axId val="1416033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586595"/>
      </c:catAx>
      <c:valAx>
        <c:axId val="43458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033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Rate by Treatment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trt_grp_vs_response_label_pivot!$B$1:$B$2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trt_grp_vs_response_label_pivot!$A$3:$A$5</c:f>
            </c:strRef>
          </c:cat>
          <c:val>
            <c:numRef>
              <c:f>trt_grp_vs_response_label_pivot!$B$3:$B$5</c:f>
              <c:numCache/>
            </c:numRef>
          </c:val>
        </c:ser>
        <c:ser>
          <c:idx val="1"/>
          <c:order val="1"/>
          <c:tx>
            <c:strRef>
              <c:f>trt_grp_vs_response_label_pivot!$C$1:$C$2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trt_grp_vs_response_label_pivot!$A$3:$A$5</c:f>
            </c:strRef>
          </c:cat>
          <c:val>
            <c:numRef>
              <c:f>trt_grp_vs_response_label_pivot!$C$3:$C$5</c:f>
              <c:numCache/>
            </c:numRef>
          </c:val>
        </c:ser>
        <c:ser>
          <c:idx val="2"/>
          <c:order val="2"/>
          <c:tx>
            <c:strRef>
              <c:f>trt_grp_vs_response_label_pivot!$D$1:$D$2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trt_grp_vs_response_label_pivot!$A$3:$A$5</c:f>
            </c:strRef>
          </c:cat>
          <c:val>
            <c:numRef>
              <c:f>trt_grp_vs_response_label_pivot!$D$3:$D$5</c:f>
              <c:numCache/>
            </c:numRef>
          </c:val>
        </c:ser>
        <c:axId val="1871161301"/>
        <c:axId val="1979687086"/>
      </c:barChart>
      <c:catAx>
        <c:axId val="1871161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trt_grp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687086"/>
      </c:catAx>
      <c:valAx>
        <c:axId val="1979687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161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Rate by Treatment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trt_grp_vs_response_label_pivot!$B$1:$B$2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trt_grp_vs_response_label_pivot!$A$3:$A$4</c:f>
            </c:strRef>
          </c:cat>
          <c:val>
            <c:numRef>
              <c:f>trt_grp_vs_response_label_pivot!$B$3:$B$4</c:f>
              <c:numCache/>
            </c:numRef>
          </c:val>
        </c:ser>
        <c:ser>
          <c:idx val="1"/>
          <c:order val="1"/>
          <c:tx>
            <c:strRef>
              <c:f>trt_grp_vs_response_label_pivot!$C$1:$C$2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trt_grp_vs_response_label_pivot!$A$3:$A$4</c:f>
            </c:strRef>
          </c:cat>
          <c:val>
            <c:numRef>
              <c:f>trt_grp_vs_response_label_pivot!$C$3:$C$4</c:f>
              <c:numCache/>
            </c:numRef>
          </c:val>
        </c:ser>
        <c:axId val="854405833"/>
        <c:axId val="720619618"/>
      </c:barChart>
      <c:catAx>
        <c:axId val="854405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trt_grp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619618"/>
      </c:catAx>
      <c:valAx>
        <c:axId val="720619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405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1002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704850</xdr:colOff>
      <xdr:row>6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" sheet="clinical_study"/>
  </cacheSource>
  <cacheFields>
    <cacheField name="subject_id" numFmtId="0">
      <sharedItems containsBlank="1">
        <s v="SUBJ_001"/>
        <s v="SUBJ_002"/>
        <s v="SUBJ_003"/>
        <s v="SUBJ_004"/>
        <s v="SUBJ_005"/>
        <s v="SUBJ_006"/>
        <s v="SUBJ_007"/>
        <s v="SUBJ_008"/>
        <s v="SUBJ_009"/>
        <s v="SUBJ_010"/>
        <s v="SUBJ_011"/>
        <s v="SUBJ_012"/>
        <s v="SUBJ_013"/>
        <s v="SUBJ_014"/>
        <s v="SUBJ_015"/>
        <s v="SUBJ_016"/>
        <s v="SUBJ_017"/>
        <s v="SUBJ_018"/>
        <s v="SUBJ_019"/>
        <s v="SUBJ_020"/>
        <s v="SUBJ_021"/>
        <s v="SUBJ_022"/>
        <s v="SUBJ_023"/>
        <s v="SUBJ_024"/>
        <s v="SUBJ_025"/>
        <s v="SUBJ_026"/>
        <s v="SUBJ_027"/>
        <s v="SUBJ_028"/>
        <s v="SUBJ_029"/>
        <s v="SUBJ_030"/>
        <s v="SUBJ_031"/>
        <s v="SUBJ_032"/>
        <s v="SUBJ_033"/>
        <s v="SUBJ_034"/>
        <s v="SUBJ_035"/>
        <s v="SUBJ_036"/>
        <s v="SUBJ_037"/>
        <s v="SUBJ_038"/>
        <s v="SUBJ_039"/>
        <s v="SUBJ_040"/>
        <s v="SUBJ_041"/>
        <s v="SUBJ_042"/>
        <s v="SUBJ_043"/>
        <s v="SUBJ_044"/>
        <s v="SUBJ_045"/>
        <s v="SUBJ_046"/>
        <s v="SUBJ_047"/>
        <s v="SUBJ_048"/>
        <s v="SUBJ_049"/>
        <s v="SUBJ_050"/>
        <s v="SUBJ_051"/>
        <s v="SUBJ_052"/>
        <s v="SUBJ_053"/>
        <s v="SUBJ_054"/>
        <s v="SUBJ_055"/>
        <s v="SUBJ_056"/>
        <s v="SUBJ_057"/>
        <s v="SUBJ_058"/>
        <s v="SUBJ_059"/>
        <s v="SUBJ_060"/>
        <s v="SUBJ_061"/>
        <s v="SUBJ_062"/>
        <s v="SUBJ_063"/>
        <s v="SUBJ_064"/>
        <s v="SUBJ_065"/>
        <s v="SUBJ_066"/>
        <s v="SUBJ_067"/>
        <s v="SUBJ_068"/>
        <s v="SUBJ_069"/>
        <s v="SUBJ_070"/>
        <s v="SUBJ_071"/>
        <s v="SUBJ_072"/>
        <s v="SUBJ_073"/>
        <s v="SUBJ_074"/>
        <s v="SUBJ_075"/>
        <s v="SUBJ_076"/>
        <s v="SUBJ_077"/>
        <s v="SUBJ_078"/>
        <s v="SUBJ_079"/>
        <s v="SUBJ_080"/>
        <s v="SUBJ_081"/>
        <s v="SUBJ_082"/>
        <s v="SUBJ_083"/>
        <s v="SUBJ_084"/>
        <s v="SUBJ_085"/>
        <s v="SUBJ_086"/>
        <s v="SUBJ_087"/>
        <s v="SUBJ_088"/>
        <s v="SUBJ_089"/>
        <s v="SUBJ_090"/>
        <s v="SUBJ_091"/>
        <s v="SUBJ_092"/>
        <s v="SUBJ_093"/>
        <s v="SUBJ_094"/>
        <s v="SUBJ_095"/>
        <s v="SUBJ_096"/>
        <s v="SUBJ_097"/>
        <s v="SUBJ_098"/>
        <s v="SUBJ_099"/>
        <s v="SUBJ_100"/>
        <s v="SUBJ_101"/>
        <s v="SUBJ_102"/>
        <s v="SUBJ_103"/>
        <s v="SUBJ_104"/>
        <s v="SUBJ_105"/>
        <s v="SUBJ_106"/>
        <s v="SUBJ_107"/>
        <s v="SUBJ_108"/>
        <s v="SUBJ_109"/>
        <s v="SUBJ_110"/>
        <s v="SUBJ_111"/>
        <s v="SUBJ_112"/>
        <s v="SUBJ_113"/>
        <s v="SUBJ_114"/>
        <s v="SUBJ_115"/>
        <s v="SUBJ_116"/>
        <s v="SUBJ_117"/>
        <s v="SUBJ_118"/>
        <s v="SUBJ_119"/>
        <s v="SUBJ_120"/>
        <s v="SUBJ_121"/>
        <s v="SUBJ_122"/>
        <s v="SUBJ_123"/>
        <s v="SUBJ_124"/>
        <s v="SUBJ_125"/>
        <s v="SUBJ_126"/>
        <s v="SUBJ_127"/>
        <s v="SUBJ_128"/>
        <s v="SUBJ_129"/>
        <s v="SUBJ_130"/>
        <s v="SUBJ_131"/>
        <s v="SUBJ_132"/>
        <s v="SUBJ_133"/>
        <s v="SUBJ_134"/>
        <s v="SUBJ_135"/>
        <s v="SUBJ_136"/>
        <s v="SUBJ_137"/>
        <s v="SUBJ_138"/>
        <s v="SUBJ_139"/>
        <s v="SUBJ_140"/>
        <s v="SUBJ_141"/>
        <s v="SUBJ_142"/>
        <s v="SUBJ_143"/>
        <s v="SUBJ_144"/>
        <s v="SUBJ_145"/>
        <s v="SUBJ_146"/>
        <s v="SUBJ_147"/>
        <s v="SUBJ_148"/>
        <s v="SUBJ_149"/>
        <s v="SUBJ_150"/>
        <s v="SUBJ_151"/>
        <s v="SUBJ_152"/>
        <s v="SUBJ_153"/>
        <s v="SUBJ_154"/>
        <s v="SUBJ_155"/>
        <s v="SUBJ_156"/>
        <s v="SUBJ_157"/>
        <s v="SUBJ_158"/>
        <s v="SUBJ_159"/>
        <s v="SUBJ_160"/>
        <s v="SUBJ_161"/>
        <s v="SUBJ_162"/>
        <s v="SUBJ_163"/>
        <s v="SUBJ_164"/>
        <s v="SUBJ_165"/>
        <s v="SUBJ_166"/>
        <s v="SUBJ_167"/>
        <s v="SUBJ_168"/>
        <s v="SUBJ_169"/>
        <s v="SUBJ_170"/>
        <s v="SUBJ_171"/>
        <s v="SUBJ_172"/>
        <s v="SUBJ_173"/>
        <s v="SUBJ_174"/>
        <s v="SUBJ_175"/>
        <s v="SUBJ_176"/>
        <s v="SUBJ_177"/>
        <s v="SUBJ_178"/>
        <s v="SUBJ_179"/>
        <s v="SUBJ_180"/>
        <s v="SUBJ_181"/>
        <s v="SUBJ_182"/>
        <s v="SUBJ_183"/>
        <s v="SUBJ_184"/>
        <s v="SUBJ_185"/>
        <s v="SUBJ_186"/>
        <s v="SUBJ_187"/>
        <s v="SUBJ_188"/>
        <s v="SUBJ_189"/>
        <s v="SUBJ_190"/>
        <s v="SUBJ_191"/>
        <s v="SUBJ_192"/>
        <s v="SUBJ_193"/>
        <s v="SUBJ_194"/>
        <s v="SUBJ_195"/>
        <s v="SUBJ_196"/>
        <s v="SUBJ_197"/>
        <s v="SUBJ_198"/>
        <s v="SUBJ_199"/>
        <s v="SUBJ_200"/>
        <s v="SUBJ_201"/>
        <s v="SUBJ_202"/>
        <s v="SUBJ_203"/>
        <s v="SUBJ_204"/>
        <s v="SUBJ_205"/>
        <s v="SUBJ_206"/>
        <s v="SUBJ_207"/>
        <s v="SUBJ_208"/>
        <s v="SUBJ_209"/>
        <s v="SUBJ_210"/>
        <s v="SUBJ_211"/>
        <s v="SUBJ_212"/>
        <s v="SUBJ_213"/>
        <s v="SUBJ_214"/>
        <s v="SUBJ_215"/>
        <s v="SUBJ_216"/>
        <s v="SUBJ_217"/>
        <s v="SUBJ_218"/>
        <s v="SUBJ_219"/>
        <s v="SUBJ_220"/>
        <s v="SUBJ_221"/>
        <s v="SUBJ_222"/>
        <s v="SUBJ_223"/>
        <s v="SUBJ_224"/>
        <s v="SUBJ_225"/>
        <s v="SUBJ_226"/>
        <s v="SUBJ_227"/>
        <s v="SUBJ_228"/>
        <s v="SUBJ_229"/>
        <s v="SUBJ_230"/>
        <s v="SUBJ_231"/>
        <s v="SUBJ_232"/>
        <s v="SUBJ_233"/>
        <s v="SUBJ_234"/>
        <s v="SUBJ_235"/>
        <s v="SUBJ_236"/>
        <s v="SUBJ_237"/>
        <s v="SUBJ_238"/>
        <s v="SUBJ_239"/>
        <s v="SUBJ_240"/>
        <s v="SUBJ_241"/>
        <s v="SUBJ_242"/>
        <s v="SUBJ_243"/>
        <s v="SUBJ_244"/>
        <s v="SUBJ_245"/>
        <s v="SUBJ_246"/>
        <s v="SUBJ_247"/>
        <s v="SUBJ_248"/>
        <s v="SUBJ_249"/>
        <s v="SUBJ_250"/>
        <s v="SUBJ_251"/>
        <s v="SUBJ_252"/>
        <s v="SUBJ_253"/>
        <s v="SUBJ_254"/>
        <s v="SUBJ_255"/>
        <s v="SUBJ_256"/>
        <s v="SUBJ_257"/>
        <s v="SUBJ_258"/>
        <s v="SUBJ_259"/>
        <s v="SUBJ_260"/>
        <s v="SUBJ_261"/>
        <s v="SUBJ_262"/>
        <s v="SUBJ_263"/>
        <s v="SUBJ_264"/>
        <s v="SUBJ_265"/>
        <s v="SUBJ_266"/>
        <s v="SUBJ_267"/>
        <s v="SUBJ_268"/>
        <s v="SUBJ_269"/>
        <s v="SUBJ_270"/>
        <s v="SUBJ_271"/>
        <s v="SUBJ_272"/>
        <s v="SUBJ_273"/>
        <s v="SUBJ_274"/>
        <s v="SUBJ_275"/>
        <s v="SUBJ_276"/>
        <s v="SUBJ_277"/>
        <s v="SUBJ_278"/>
        <s v="SUBJ_279"/>
        <s v="SUBJ_280"/>
        <s v="SUBJ_281"/>
        <s v="SUBJ_282"/>
        <s v="SUBJ_283"/>
        <s v="SUBJ_284"/>
        <s v="SUBJ_285"/>
        <s v="SUBJ_286"/>
        <s v="SUBJ_287"/>
        <s v="SUBJ_288"/>
        <s v="SUBJ_289"/>
        <s v="SUBJ_290"/>
        <s v="SUBJ_291"/>
        <s v="SUBJ_292"/>
        <s v="SUBJ_293"/>
        <s v="SUBJ_294"/>
        <s v="SUBJ_295"/>
        <s v="SUBJ_296"/>
        <s v="SUBJ_297"/>
        <s v="SUBJ_298"/>
        <s v="SUBJ_299"/>
        <s v="SUBJ_300"/>
        <s v="SUBJ_301"/>
        <s v="SUBJ_302"/>
        <s v="SUBJ_303"/>
        <s v="SUBJ_304"/>
        <s v="SUBJ_305"/>
        <s v="SUBJ_306"/>
        <s v="SUBJ_307"/>
        <s v="SUBJ_308"/>
        <s v="SUBJ_309"/>
        <s v="SUBJ_310"/>
        <s v="SUBJ_311"/>
        <s v="SUBJ_312"/>
        <s v="SUBJ_313"/>
        <s v="SUBJ_314"/>
        <s v="SUBJ_315"/>
        <s v="SUBJ_316"/>
        <s v="SUBJ_317"/>
        <s v="SUBJ_318"/>
        <s v="SUBJ_319"/>
        <s v="SUBJ_320"/>
        <s v="SUBJ_321"/>
        <s v="SUBJ_322"/>
        <s v="SUBJ_323"/>
        <s v="SUBJ_324"/>
        <s v="SUBJ_325"/>
        <s v="SUBJ_326"/>
        <s v="SUBJ_327"/>
        <s v="SUBJ_328"/>
        <s v="SUBJ_329"/>
        <s v="SUBJ_330"/>
        <s v="SUBJ_331"/>
        <s v="SUBJ_332"/>
        <s v="SUBJ_333"/>
        <s v="SUBJ_334"/>
        <s v="SUBJ_335"/>
        <s v="SUBJ_336"/>
        <s v="SUBJ_337"/>
        <s v="SUBJ_338"/>
        <s v="SUBJ_339"/>
        <s v="SUBJ_340"/>
        <s v="SUBJ_341"/>
        <s v="SUBJ_342"/>
        <s v="SUBJ_343"/>
        <s v="SUBJ_344"/>
        <s v="SUBJ_345"/>
        <s v="SUBJ_346"/>
        <s v="SUBJ_347"/>
        <s v="SUBJ_348"/>
        <s v="SUBJ_349"/>
        <s v="SUBJ_350"/>
        <s v="SUBJ_351"/>
        <s v="SUBJ_352"/>
        <s v="SUBJ_353"/>
        <s v="SUBJ_354"/>
        <s v="SUBJ_355"/>
        <s v="SUBJ_356"/>
        <s v="SUBJ_357"/>
        <s v="SUBJ_358"/>
        <s v="SUBJ_359"/>
        <s v="SUBJ_360"/>
        <s v="SUBJ_361"/>
        <s v="SUBJ_362"/>
        <s v="SUBJ_363"/>
        <s v="SUBJ_364"/>
        <s v="SUBJ_365"/>
        <s v="SUBJ_366"/>
        <s v="SUBJ_367"/>
        <s v="SUBJ_368"/>
        <s v="SUBJ_369"/>
        <s v="SUBJ_370"/>
        <s v="SUBJ_371"/>
        <s v="SUBJ_372"/>
        <s v="SUBJ_373"/>
        <s v="SUBJ_374"/>
        <s v="SUBJ_375"/>
        <s v="SUBJ_376"/>
        <s v="SUBJ_377"/>
        <s v="SUBJ_378"/>
        <s v="SUBJ_379"/>
        <s v="SUBJ_380"/>
        <s v="SUBJ_381"/>
        <s v="SUBJ_382"/>
        <s v="SUBJ_383"/>
        <s v="SUBJ_384"/>
        <s v="SUBJ_385"/>
        <s v="SUBJ_386"/>
        <s v="SUBJ_387"/>
        <s v="SUBJ_388"/>
        <s v="SUBJ_389"/>
        <s v="SUBJ_390"/>
        <s v="SUBJ_391"/>
        <s v="SUBJ_392"/>
        <s v="SUBJ_393"/>
        <s v="SUBJ_394"/>
        <s v="SUBJ_395"/>
        <s v="SUBJ_396"/>
        <s v="SUBJ_397"/>
        <s v="SUBJ_398"/>
        <s v="SUBJ_399"/>
        <s v="SUBJ_400"/>
        <s v="SUBJ_401"/>
        <s v="SUBJ_402"/>
        <s v="SUBJ_403"/>
        <s v="SUBJ_404"/>
        <s v="SUBJ_405"/>
        <s v="SUBJ_406"/>
        <s v="SUBJ_407"/>
        <s v="SUBJ_408"/>
        <s v="SUBJ_409"/>
        <s v="SUBJ_410"/>
        <s v="SUBJ_411"/>
        <s v="SUBJ_412"/>
        <s v="SUBJ_413"/>
        <s v="SUBJ_414"/>
        <s v="SUBJ_415"/>
        <s v="SUBJ_416"/>
        <s v="SUBJ_417"/>
        <s v="SUBJ_418"/>
        <s v="SUBJ_419"/>
        <s v="SUBJ_420"/>
        <s v="SUBJ_421"/>
        <s v="SUBJ_422"/>
        <s v="SUBJ_423"/>
        <s v="SUBJ_424"/>
        <s v="SUBJ_425"/>
        <s v="SUBJ_426"/>
        <s v="SUBJ_427"/>
        <s v="SUBJ_428"/>
        <s v="SUBJ_429"/>
        <s v="SUBJ_430"/>
        <s v="SUBJ_431"/>
        <s v="SUBJ_432"/>
        <s v="SUBJ_433"/>
        <s v="SUBJ_434"/>
        <s v="SUBJ_435"/>
        <s v="SUBJ_436"/>
        <s v="SUBJ_437"/>
        <s v="SUBJ_438"/>
        <s v="SUBJ_439"/>
        <s v="SUBJ_440"/>
        <s v="SUBJ_441"/>
        <s v="SUBJ_442"/>
        <s v="SUBJ_443"/>
        <s v="SUBJ_444"/>
        <s v="SUBJ_445"/>
        <s v="SUBJ_446"/>
        <s v="SUBJ_447"/>
        <s v="SUBJ_448"/>
        <s v="SUBJ_449"/>
        <s v="SUBJ_450"/>
        <s v="SUBJ_451"/>
        <s v="SUBJ_452"/>
        <s v="SUBJ_453"/>
        <s v="SUBJ_454"/>
        <s v="SUBJ_455"/>
        <s v="SUBJ_456"/>
        <s v="SUBJ_457"/>
        <s v="SUBJ_458"/>
        <s v="SUBJ_459"/>
        <s v="SUBJ_460"/>
        <s v="SUBJ_461"/>
        <s v="SUBJ_462"/>
        <s v="SUBJ_463"/>
        <s v="SUBJ_464"/>
        <s v="SUBJ_465"/>
        <s v="SUBJ_466"/>
        <s v="SUBJ_467"/>
        <s v="SUBJ_468"/>
        <s v="SUBJ_469"/>
        <s v="SUBJ_470"/>
        <s v="SUBJ_471"/>
        <s v="SUBJ_472"/>
        <s v="SUBJ_473"/>
        <s v="SUBJ_474"/>
        <s v="SUBJ_475"/>
        <s v="SUBJ_476"/>
        <s v="SUBJ_477"/>
        <s v="SUBJ_478"/>
        <s v="SUBJ_479"/>
        <s v="SUBJ_480"/>
        <s v="SUBJ_481"/>
        <s v="SUBJ_482"/>
        <s v="SUBJ_483"/>
        <s v="SUBJ_484"/>
        <s v="SUBJ_485"/>
        <s v="SUBJ_486"/>
        <s v="SUBJ_487"/>
        <s v="SUBJ_488"/>
        <s v="SUBJ_489"/>
        <s v="SUBJ_490"/>
        <s v="SUBJ_491"/>
        <s v="SUBJ_492"/>
        <s v="SUBJ_493"/>
        <s v="SUBJ_494"/>
        <s v="SUBJ_495"/>
        <s v="SUBJ_496"/>
        <s v="SUBJ_497"/>
        <s v="SUBJ_498"/>
        <s v="SUBJ_499"/>
        <s v="SUBJ_500"/>
        <s v="SUBJ_501"/>
        <s v="SUBJ_502"/>
        <s v="SUBJ_503"/>
        <s v="SUBJ_504"/>
        <s v="SUBJ_505"/>
        <s v="SUBJ_506"/>
        <s v="SUBJ_507"/>
        <s v="SUBJ_508"/>
        <s v="SUBJ_509"/>
        <s v="SUBJ_510"/>
        <s v="SUBJ_511"/>
        <s v="SUBJ_512"/>
        <s v="SUBJ_513"/>
        <s v="SUBJ_514"/>
        <s v="SUBJ_515"/>
        <s v="SUBJ_516"/>
        <s v="SUBJ_517"/>
        <s v="SUBJ_518"/>
        <s v="SUBJ_519"/>
        <s v="SUBJ_520"/>
        <s v="SUBJ_521"/>
        <s v="SUBJ_522"/>
        <s v="SUBJ_523"/>
        <s v="SUBJ_524"/>
        <s v="SUBJ_525"/>
        <s v="SUBJ_526"/>
        <s v="SUBJ_527"/>
        <s v="SUBJ_528"/>
        <s v="SUBJ_529"/>
        <s v="SUBJ_530"/>
        <s v="SUBJ_531"/>
        <s v="SUBJ_532"/>
        <s v="SUBJ_533"/>
        <s v="SUBJ_534"/>
        <s v="SUBJ_535"/>
        <s v="SUBJ_536"/>
        <s v="SUBJ_537"/>
        <s v="SUBJ_538"/>
        <s v="SUBJ_539"/>
        <s v="SUBJ_540"/>
        <s v="SUBJ_541"/>
        <s v="SUBJ_542"/>
        <s v="SUBJ_543"/>
        <s v="SUBJ_544"/>
        <s v="SUBJ_545"/>
        <s v="SUBJ_546"/>
        <s v="SUBJ_547"/>
        <s v="SUBJ_548"/>
        <s v="SUBJ_549"/>
        <s v="SUBJ_550"/>
        <s v="SUBJ_551"/>
        <s v="SUBJ_552"/>
        <s v="SUBJ_553"/>
        <s v="SUBJ_554"/>
        <s v="SUBJ_555"/>
        <s v="SUBJ_556"/>
        <s v="SUBJ_557"/>
        <s v="SUBJ_558"/>
        <s v="SUBJ_559"/>
        <s v="SUBJ_560"/>
        <s v="SUBJ_561"/>
        <s v="SUBJ_562"/>
        <s v="SUBJ_563"/>
        <s v="SUBJ_564"/>
        <s v="SUBJ_565"/>
        <s v="SUBJ_566"/>
        <s v="SUBJ_567"/>
        <s v="SUBJ_568"/>
        <s v="SUBJ_569"/>
        <s v="SUBJ_570"/>
        <s v="SUBJ_571"/>
        <s v="SUBJ_572"/>
        <s v="SUBJ_573"/>
        <s v="SUBJ_574"/>
        <s v="SUBJ_575"/>
        <s v="SUBJ_576"/>
        <s v="SUBJ_577"/>
        <s v="SUBJ_578"/>
        <s v="SUBJ_579"/>
        <s v="SUBJ_580"/>
        <s v="SUBJ_581"/>
        <s v="SUBJ_582"/>
        <s v="SUBJ_583"/>
        <s v="SUBJ_584"/>
        <s v="SUBJ_585"/>
        <s v="SUBJ_586"/>
        <s v="SUBJ_587"/>
        <s v="SUBJ_588"/>
        <s v="SUBJ_589"/>
        <s v="SUBJ_590"/>
        <s v="SUBJ_591"/>
        <s v="SUBJ_592"/>
        <s v="SUBJ_593"/>
        <s v="SUBJ_594"/>
        <s v="SUBJ_595"/>
        <s v="SUBJ_596"/>
        <s v="SUBJ_597"/>
        <s v="SUBJ_598"/>
        <s v="SUBJ_599"/>
        <s v="SUBJ_600"/>
        <s v="SUBJ_601"/>
        <s v="SUBJ_602"/>
        <s v="SUBJ_603"/>
        <s v="SUBJ_604"/>
        <s v="SUBJ_605"/>
        <s v="SUBJ_606"/>
        <s v="SUBJ_607"/>
        <s v="SUBJ_608"/>
        <s v="SUBJ_609"/>
        <s v="SUBJ_610"/>
        <s v="SUBJ_611"/>
        <s v="SUBJ_612"/>
        <s v="SUBJ_613"/>
        <s v="SUBJ_614"/>
        <s v="SUBJ_615"/>
        <s v="SUBJ_616"/>
        <s v="SUBJ_617"/>
        <s v="SUBJ_618"/>
        <s v="SUBJ_619"/>
        <s v="SUBJ_620"/>
        <s v="SUBJ_621"/>
        <s v="SUBJ_622"/>
        <s v="SUBJ_623"/>
        <s v="SUBJ_624"/>
        <s v="SUBJ_625"/>
        <s v="SUBJ_626"/>
        <s v="SUBJ_627"/>
        <s v="SUBJ_628"/>
        <s v="SUBJ_629"/>
        <s v="SUBJ_630"/>
        <s v="SUBJ_631"/>
        <s v="SUBJ_632"/>
        <s v="SUBJ_633"/>
        <s v="SUBJ_634"/>
        <s v="SUBJ_635"/>
        <s v="SUBJ_636"/>
        <s v="SUBJ_637"/>
        <s v="SUBJ_638"/>
        <s v="SUBJ_639"/>
        <s v="SUBJ_640"/>
        <s v="SUBJ_641"/>
        <s v="SUBJ_642"/>
        <s v="SUBJ_643"/>
        <s v="SUBJ_644"/>
        <s v="SUBJ_645"/>
        <s v="SUBJ_646"/>
        <s v="SUBJ_647"/>
        <s v="SUBJ_648"/>
        <s v="SUBJ_649"/>
        <s v="SUBJ_650"/>
        <s v="SUBJ_651"/>
        <s v="SUBJ_652"/>
        <s v="SUBJ_653"/>
        <s v="SUBJ_654"/>
        <s v="SUBJ_655"/>
        <s v="SUBJ_656"/>
        <s v="SUBJ_657"/>
        <s v="SUBJ_658"/>
        <s v="SUBJ_659"/>
        <s v="SUBJ_660"/>
        <s v="SUBJ_661"/>
        <s v="SUBJ_662"/>
        <s v="SUBJ_663"/>
        <s v="SUBJ_664"/>
        <s v="SUBJ_665"/>
        <s v="SUBJ_666"/>
        <s v="SUBJ_667"/>
        <s v="SUBJ_668"/>
        <s v="SUBJ_669"/>
        <s v="SUBJ_670"/>
        <s v="SUBJ_671"/>
        <s v="SUBJ_672"/>
        <s v="SUBJ_673"/>
        <s v="SUBJ_674"/>
        <s v="SUBJ_675"/>
        <s v="SUBJ_676"/>
        <s v="SUBJ_677"/>
        <s v="SUBJ_678"/>
        <s v="SUBJ_679"/>
        <s v="SUBJ_680"/>
        <s v="SUBJ_681"/>
        <s v="SUBJ_682"/>
        <s v="SUBJ_683"/>
        <s v="SUBJ_684"/>
        <s v="SUBJ_685"/>
        <s v="SUBJ_686"/>
        <s v="SUBJ_687"/>
        <s v="SUBJ_688"/>
        <s v="SUBJ_689"/>
        <s v="SUBJ_690"/>
        <s v="SUBJ_691"/>
        <s v="SUBJ_692"/>
        <s v="SUBJ_693"/>
        <s v="SUBJ_694"/>
        <s v="SUBJ_695"/>
        <s v="SUBJ_696"/>
        <s v="SUBJ_697"/>
        <s v="SUBJ_698"/>
        <s v="SUBJ_699"/>
        <s v="SUBJ_700"/>
        <s v="SUBJ_701"/>
        <s v="SUBJ_702"/>
        <s v="SUBJ_703"/>
        <s v="SUBJ_704"/>
        <s v="SUBJ_705"/>
        <s v="SUBJ_706"/>
        <s v="SUBJ_707"/>
        <s v="SUBJ_708"/>
        <s v="SUBJ_709"/>
        <s v="SUBJ_710"/>
        <s v="SUBJ_711"/>
        <s v="SUBJ_712"/>
        <s v="SUBJ_713"/>
        <s v="SUBJ_714"/>
        <s v="SUBJ_715"/>
        <s v="SUBJ_716"/>
        <s v="SUBJ_717"/>
        <s v="SUBJ_718"/>
        <s v="SUBJ_719"/>
        <s v="SUBJ_720"/>
        <s v="SUBJ_721"/>
        <s v="SUBJ_722"/>
        <s v="SUBJ_723"/>
        <s v="SUBJ_724"/>
        <s v="SUBJ_725"/>
        <s v="SUBJ_726"/>
        <s v="SUBJ_727"/>
        <s v="SUBJ_728"/>
        <s v="SUBJ_729"/>
        <s v="SUBJ_730"/>
        <s v="SUBJ_731"/>
        <s v="SUBJ_732"/>
        <s v="SUBJ_733"/>
        <s v="SUBJ_734"/>
        <s v="SUBJ_735"/>
        <s v="SUBJ_736"/>
        <s v="SUBJ_737"/>
        <s v="SUBJ_738"/>
        <s v="SUBJ_739"/>
        <s v="SUBJ_740"/>
        <s v="SUBJ_741"/>
        <s v="SUBJ_742"/>
        <s v="SUBJ_743"/>
        <s v="SUBJ_744"/>
        <s v="SUBJ_745"/>
        <s v="SUBJ_746"/>
        <s v="SUBJ_747"/>
        <s v="SUBJ_748"/>
        <s v="SUBJ_749"/>
        <s v="SUBJ_750"/>
        <s v="SUBJ_751"/>
        <s v="SUBJ_752"/>
        <s v="SUBJ_753"/>
        <s v="SUBJ_754"/>
        <s v="SUBJ_755"/>
        <s v="SUBJ_756"/>
        <s v="SUBJ_757"/>
        <s v="SUBJ_758"/>
        <s v="SUBJ_759"/>
        <s v="SUBJ_760"/>
        <s v="SUBJ_761"/>
        <s v="SUBJ_762"/>
        <s v="SUBJ_763"/>
        <s v="SUBJ_764"/>
        <s v="SUBJ_765"/>
        <s v="SUBJ_766"/>
        <s v="SUBJ_767"/>
        <s v="SUBJ_768"/>
        <s v="SUBJ_A69"/>
        <s v="SUBJ_A70"/>
        <s v="SUBJ_A71"/>
        <m/>
      </sharedItems>
    </cacheField>
    <cacheField name="age" numFmtId="0">
      <sharedItems containsString="0" containsBlank="1" containsNumber="1">
        <n v="46.0"/>
        <n v="47.0"/>
        <n v="48.0"/>
        <n v="59.0"/>
        <n v="63.0"/>
        <n v="77.0"/>
        <n v="57.0"/>
        <n v="72.0"/>
        <n v="73.0"/>
        <n v="67.0"/>
        <n v="53.0"/>
        <n v="58.0"/>
        <n v="55.0"/>
        <n v="65.0"/>
        <n v="54.0"/>
        <n v="51.0"/>
        <n v="61.0"/>
        <n v="56.0"/>
        <n v="64.0"/>
        <n v="66.0"/>
        <n v="69.0"/>
        <n v="70.0"/>
        <n v="49.0"/>
        <n v="62.0"/>
        <n v="68.0"/>
        <n v="71.0"/>
        <n v="60.0"/>
        <n v="52.0"/>
        <n v="78.0"/>
        <n v="79.0"/>
        <n v="43.0"/>
        <n v="44.0"/>
        <n v="76.0"/>
        <n v="39.0"/>
        <n v="74.0"/>
        <n v="50.0"/>
        <n v="45.0"/>
        <n v="75.0"/>
        <n v="37.0"/>
        <n v="7.2"/>
        <n v="8.31"/>
        <n v="7.854"/>
        <m/>
      </sharedItems>
    </cacheField>
    <cacheField name="sex" numFmtId="0">
      <sharedItems containsBlank="1">
        <s v="Female"/>
        <s v="Male"/>
        <m/>
      </sharedItems>
    </cacheField>
    <cacheField name="weight">
      <sharedItems containsBlank="1" containsMixedTypes="1" containsNumber="1">
        <n v="84.66"/>
        <n v="71.21"/>
        <n v="69.85"/>
        <n v="62.94"/>
        <n v="113.91"/>
        <n v="79.33"/>
        <n v="96.12"/>
        <n v="93.5"/>
        <n v="85.57"/>
        <s v="NA"/>
        <n v="109.12"/>
        <n v="125.02"/>
        <n v="76.31"/>
        <n v="90.99"/>
        <n v="80.21"/>
        <n v="86.75"/>
        <n v="144.15"/>
        <n v="80.04"/>
        <n v="131.63"/>
        <n v="94.38"/>
        <n v="122.87"/>
        <n v="85.69"/>
        <n v="115.97"/>
        <n v="68.36"/>
        <n v="99.69"/>
        <n v="74.94"/>
        <n v="96.43"/>
        <n v="64.36"/>
        <n v="55.48"/>
        <n v="82.18"/>
        <n v="103.35"/>
        <n v="83.84"/>
        <n v="73.24"/>
        <n v="63.33"/>
        <n v="87.55"/>
        <n v="70.09"/>
        <n v="91.69"/>
        <n v="88.1"/>
        <n v="112.73"/>
        <n v="109.52"/>
        <n v="99.31"/>
        <n v="112.26"/>
        <n v="64.62"/>
        <n v="127.58"/>
        <n v="77.89"/>
        <n v="131.25"/>
        <n v="100.35"/>
        <n v="91.61"/>
        <n v="104.13"/>
        <n v="48.9"/>
        <n v="63.17"/>
        <n v="64.84"/>
        <n v="88.23"/>
        <n v="82.39"/>
        <n v="57.12"/>
        <n v="104.77"/>
        <n v="147.54"/>
        <n v="137.81"/>
        <n v="109.88"/>
        <n v="97.35"/>
        <n v="77.23"/>
        <n v="76.46"/>
        <n v="81.74"/>
        <n v="76.91"/>
        <n v="97.0"/>
        <n v="140.59"/>
        <n v="52.62"/>
        <n v="91.43"/>
        <n v="90.64"/>
        <n v="88.34"/>
        <n v="150.35"/>
        <n v="127.68"/>
        <n v="86.88"/>
        <n v="78.92"/>
        <n v="103.51"/>
        <n v="95.92"/>
        <n v="125.43"/>
        <n v="59.31"/>
        <n v="54.54"/>
        <n v="75.98"/>
        <n v="66.21"/>
        <n v="125.41"/>
        <n v="100.1"/>
        <n v="107.75"/>
        <n v="94.54"/>
        <n v="101.64"/>
        <n v="64.07"/>
        <n v="55.68"/>
        <n v="79.34"/>
        <n v="107.32"/>
        <n v="53.31"/>
        <n v="75.06"/>
        <n v="102.94"/>
        <n v="91.76"/>
        <n v="64.55"/>
        <n v="78.76"/>
        <n v="127.34"/>
        <n v="110.75"/>
        <n v="75.01"/>
        <n v="68.01"/>
        <n v="75.94"/>
        <n v="96.18"/>
        <n v="91.12"/>
        <n v="63.53"/>
        <n v="91.51"/>
        <n v="84.44"/>
        <n v="102.99"/>
        <n v="96.22"/>
        <n v="78.45"/>
        <n v="79.99"/>
        <n v="111.43"/>
        <n v="100.6"/>
        <n v="77.22"/>
        <n v="105.05"/>
        <n v="86.98"/>
        <n v="73.44"/>
        <n v="65.18"/>
        <n v="142.42"/>
        <n v="92.83"/>
        <n v="103.01"/>
        <n v="80.53"/>
        <n v="88.04"/>
        <n v="135.86"/>
        <n v="107.45"/>
        <n v="114.0"/>
        <n v="92.75"/>
        <n v="77.75"/>
        <n v="80.22"/>
        <n v="75.63"/>
        <n v="98.53"/>
        <n v="97.83"/>
        <n v="48.14"/>
        <n v="91.5"/>
        <n v="101.9"/>
        <n v="72.38"/>
        <n v="65.03"/>
        <n v="96.57"/>
        <n v="59.76"/>
        <n v="98.98"/>
        <n v="97.06"/>
        <n v="112.12"/>
        <n v="85.41"/>
        <n v="103.06"/>
        <n v="74.52"/>
        <n v="96.64"/>
        <n v="81.64"/>
        <n v="124.94"/>
        <n v="51.67"/>
        <n v="88.88"/>
        <n v="116.5"/>
        <n v="148.86"/>
        <n v="128.78"/>
        <n v="81.3"/>
        <n v="80.19"/>
        <n v="79.82"/>
        <n v="115.17"/>
        <n v="71.42"/>
        <n v="108.43"/>
        <n v="137.18"/>
        <n v="81.86"/>
        <n v="95.72"/>
        <n v="89.16"/>
        <n v="89.97"/>
        <n v="81.94"/>
        <n v="100.4"/>
        <n v="89.05"/>
        <n v="93.37"/>
        <n v="105.31"/>
        <n v="91.21"/>
        <n v="130.78"/>
        <n v="99.63"/>
        <n v="80.78"/>
        <n v="160.12"/>
        <n v="124.2"/>
        <n v="128.31"/>
        <n v="72.57"/>
        <n v="88.64"/>
        <n v="91.92"/>
        <n v="79.97"/>
        <n v="80.46"/>
        <n v="102.83"/>
        <n v="83.19"/>
        <n v="111.28"/>
        <n v="79.64"/>
        <n v="83.6"/>
        <n v="70.25"/>
        <n v="103.16"/>
        <n v="71.38"/>
        <n v="165.66"/>
        <n v="73.65"/>
        <n v="135.89"/>
        <n v="73.06"/>
        <n v="61.06"/>
        <n v="103.45"/>
        <n v="95.59"/>
        <n v="91.54"/>
        <n v="93.36"/>
        <n v="85.8"/>
        <n v="69.74"/>
        <n v="107.51"/>
        <n v="99.76"/>
        <n v="102.9"/>
        <n v="101.76"/>
        <n v="91.35"/>
        <n v="71.56"/>
        <n v="135.27"/>
        <n v="89.91"/>
        <n v="127.96"/>
        <n v="96.53"/>
        <n v="108.85"/>
        <n v="93.14"/>
        <n v="90.78"/>
        <n v="73.45"/>
        <n v="86.48"/>
        <n v="85.98"/>
        <n v="107.15"/>
        <n v="71.16"/>
        <n v="83.1"/>
        <n v="68.54"/>
        <n v="100.81"/>
        <n v="102.33"/>
        <n v="104.0"/>
        <n v="89.56"/>
        <n v="113.51"/>
        <n v="136.52"/>
        <n v="137.73"/>
        <n v="72.85"/>
        <n v="112.79"/>
        <n v="85.25"/>
        <n v="102.84"/>
        <n v="93.84"/>
        <n v="132.59"/>
        <n v="99.64"/>
        <n v="60.17"/>
        <n v="84.02"/>
        <n v="104.68"/>
        <n v="73.91"/>
        <n v="71.02"/>
        <n v="101.05"/>
        <n v="77.33"/>
        <n v="80.4"/>
        <n v="135.76"/>
        <n v="110.65"/>
        <n v="83.46"/>
        <n v="97.1"/>
        <n v="82.66"/>
        <n v="78.78"/>
        <n v="112.09"/>
        <n v="72.5"/>
        <n v="112.18"/>
        <n v="75.21"/>
        <n v="68.56"/>
        <n v="59.17"/>
        <n v="85.33"/>
        <n v="89.64"/>
        <n v="71.04"/>
        <n v="103.75"/>
        <n v="88.47"/>
        <n v="80.99"/>
        <n v="89.19"/>
        <n v="103.71"/>
        <n v="132.07"/>
        <n v="63.75"/>
        <n v="75.97"/>
        <n v="116.43"/>
        <n v="73.56"/>
        <n v="76.18"/>
        <n v="123.59"/>
        <n v="88.87"/>
        <n v="113.07"/>
        <n v="83.86"/>
        <n v="80.94"/>
        <n v="56.55"/>
        <n v="68.58"/>
        <n v="89.27"/>
        <n v="111.59"/>
        <n v="78.93"/>
        <n v="73.16"/>
        <n v="63.84"/>
        <n v="93.28"/>
        <n v="118.33"/>
        <n v="65.9"/>
        <n v="94.16"/>
        <n v="103.15"/>
        <n v="90.38"/>
        <n v="121.08"/>
        <n v="70.92"/>
        <n v="78.69"/>
        <n v="93.48"/>
        <n v="54.62"/>
        <n v="73.61"/>
        <n v="96.87"/>
        <n v="100.65"/>
        <n v="124.9"/>
        <n v="48.3"/>
        <n v="128.35"/>
        <n v="69.32"/>
        <n v="64.69"/>
        <n v="82.24"/>
        <n v="82.55"/>
        <n v="113.45"/>
        <n v="79.62"/>
        <n v="87.31"/>
        <n v="87.44"/>
        <n v="104.65"/>
        <n v="55.33"/>
        <n v="90.61"/>
        <n v="115.88"/>
        <n v="61.61"/>
        <n v="72.6"/>
        <n v="84.75"/>
        <n v="73.74"/>
        <n v="90.45"/>
        <n v="67.0"/>
        <n v="111.49"/>
        <n v="113.49"/>
        <n v="138.36"/>
        <n v="74.86"/>
        <n v="58.69"/>
        <n v="98.11"/>
        <n v="125.56"/>
        <n v="64.92"/>
        <n v="76.84"/>
        <n v="125.92"/>
        <n v="98.55"/>
        <n v="87.48"/>
        <n v="113.05"/>
        <n v="117.28"/>
        <n v="67.82"/>
        <n v="78.44"/>
        <n v="92.01"/>
        <n v="83.38"/>
        <n v="103.74"/>
        <n v="120.55"/>
        <n v="73.29"/>
        <n v="61.22"/>
        <n v="60.04"/>
        <n v="118.81"/>
        <n v="102.21"/>
        <n v="81.43"/>
        <n v="104.34"/>
        <n v="82.58"/>
        <n v="136.68"/>
        <n v="80.62"/>
        <n v="76.36"/>
        <n v="133.29"/>
        <n v="96.39"/>
        <n v="97.23"/>
        <n v="86.02"/>
        <n v="112.5"/>
        <n v="112.48"/>
        <n v="110.94"/>
        <n v="87.38"/>
        <n v="92.05"/>
        <n v="61.23"/>
        <n v="82.86"/>
        <n v="89.41"/>
        <n v="104.58"/>
        <n v="118.09"/>
        <n v="107.16"/>
        <n v="93.53"/>
        <n v="61.9"/>
        <n v="91.63"/>
        <n v="158.85"/>
        <n v="112.82"/>
        <n v="84.68"/>
        <n v="53.0"/>
        <n v="68.34"/>
        <n v="68.96"/>
        <n v="81.32"/>
        <n v="61.92"/>
        <n v="79.78"/>
        <n v="117.25"/>
        <n v="86.65"/>
        <n v="94.58"/>
        <n v="107.34"/>
        <n v="151.28"/>
        <n v="66.92"/>
        <n v="57.62"/>
        <n v="101.09"/>
        <n v="78.43"/>
        <n v="78.61"/>
        <n v="116.48"/>
        <n v="50.29"/>
        <n v="109.78"/>
        <n v="91.55"/>
        <n v="75.51"/>
        <n v="101.42"/>
        <n v="96.61"/>
        <n v="88.74"/>
        <n v="126.01"/>
        <n v="76.08"/>
        <n v="67.16"/>
        <n v="85.23"/>
        <n v="118.77"/>
        <n v="94.37"/>
        <n v="141.42"/>
        <n v="75.25"/>
        <n v="114.68"/>
        <n v="94.72"/>
        <n v="70.43"/>
        <n v="118.26"/>
        <n v="60.49"/>
        <n v="68.31"/>
        <n v="131.97"/>
        <n v="52.2"/>
        <n v="122.82"/>
        <n v="112.9"/>
        <n v="102.92"/>
        <n v="116.55"/>
        <n v="94.12"/>
        <n v="112.63"/>
        <n v="112.77"/>
        <n v="61.65"/>
        <n v="76.67"/>
        <n v="78.32"/>
        <n v="62.38"/>
        <n v="58.63"/>
        <n v="107.69"/>
        <n v="123.9"/>
        <n v="101.19"/>
        <n v="64.21"/>
        <n v="82.42"/>
        <n v="85.62"/>
        <n v="88.99"/>
        <n v="91.97"/>
        <n v="97.77"/>
        <n v="179.02"/>
        <n v="60.0"/>
        <n v="111.33"/>
        <n v="94.83"/>
        <n v="81.78"/>
        <n v="54.32"/>
        <n v="64.35"/>
        <n v="131.41"/>
        <n v="56.41"/>
        <n v="117.17"/>
        <n v="98.22"/>
        <n v="84.73"/>
        <n v="95.25"/>
        <n v="102.63"/>
        <n v="59.29"/>
        <n v="46.17"/>
        <n v="59.92"/>
        <n v="84.22"/>
        <n v="90.77"/>
        <n v="62.6"/>
        <n v="74.8"/>
        <n v="73.09"/>
        <n v="108.8"/>
        <n v="83.16"/>
        <n v="146.35"/>
        <n v="110.26"/>
        <n v="113.73"/>
        <n v="101.71"/>
        <n v="70.82"/>
        <n v="78.13"/>
        <n v="77.85"/>
        <n v="64.11"/>
        <n v="69.88"/>
        <n v="81.85"/>
        <n v="84.37"/>
        <n v="104.82"/>
        <n v="78.71"/>
        <n v="121.06"/>
        <n v="112.2"/>
        <n v="141.03"/>
        <n v="101.69"/>
        <n v="139.32"/>
        <n v="77.67"/>
        <n v="71.83"/>
        <n v="108.65"/>
        <n v="102.52"/>
        <n v="78.95"/>
        <n v="84.9"/>
        <n v="72.55"/>
        <n v="66.6"/>
        <n v="89.07"/>
        <n v="75.89"/>
        <n v="73.83"/>
        <n v="63.67"/>
        <n v="122.75"/>
        <n v="91.89"/>
        <n v="81.84"/>
        <n v="97.94"/>
        <n v="97.87"/>
        <n v="112.32"/>
        <n v="71.85"/>
        <n v="74.56"/>
        <n v="62.97"/>
        <n v="59.95"/>
        <n v="73.17"/>
        <n v="68.04"/>
        <n v="60.97"/>
        <n v="72.06"/>
        <n v="121.1"/>
        <n v="80.25"/>
        <n v="53.12"/>
        <n v="78.24"/>
        <n v="102.66"/>
        <n v="108.0"/>
        <n v="82.38"/>
        <n v="51.89"/>
        <n v="46.58"/>
        <n v="64.4"/>
        <n v="59.56"/>
        <n v="76.45"/>
        <n v="132.58"/>
        <n v="119.87"/>
        <n v="99.75"/>
        <n v="99.93"/>
        <n v="84.7"/>
        <n v="85.27"/>
        <n v="59.14"/>
        <n v="103.93"/>
        <n v="101.68"/>
        <n v="102.38"/>
        <n v="89.14"/>
        <n v="98.62"/>
        <n v="91.42"/>
        <n v="86.55"/>
        <n v="102.42"/>
        <n v="79.32"/>
        <n v="83.06"/>
        <n v="82.93"/>
        <n v="88.61"/>
        <n v="87.89"/>
        <n v="89.22"/>
        <n v="77.87"/>
        <n v="86.84"/>
        <n v="62.2"/>
        <n v="106.35"/>
        <n v="81.87"/>
        <n v="134.22"/>
        <n v="94.55"/>
        <n v="84.25"/>
        <n v="94.76"/>
        <n v="102.19"/>
        <n v="70.2"/>
        <n v="84.2"/>
        <n v="66.06"/>
        <n v="121.94"/>
        <n v="79.44"/>
        <n v="100.2"/>
        <n v="91.18"/>
        <n v="80.38"/>
        <n v="68.69"/>
        <n v="86.15"/>
        <n v="94.82"/>
        <n v="84.16"/>
        <n v="71.72"/>
        <n v="124.17"/>
        <n v="87.21"/>
        <n v="112.42"/>
        <n v="126.49"/>
        <n v="62.4"/>
        <n v="83.02"/>
        <n v="114.11"/>
        <n v="99.73"/>
        <n v="65.39"/>
        <n v="104.14"/>
        <n v="67.27"/>
        <n v="130.51"/>
        <n v="116.27"/>
        <n v="79.19"/>
        <n v="74.78"/>
        <n v="106.48"/>
        <n v="95.8"/>
        <n v="143.06"/>
        <n v="63.19"/>
        <n v="83.99"/>
        <n v="47.31"/>
        <n v="64.52"/>
        <n v="69.4"/>
        <n v="88.2"/>
        <n v="109.35"/>
        <n v="89.84"/>
        <n v="108.3"/>
        <n v="130.97"/>
        <n v="90.95"/>
        <n v="72.01"/>
        <n v="91.06"/>
        <n v="82.85"/>
        <n v="114.74"/>
        <n v="81.6"/>
        <n v="97.38"/>
        <n v="68.51"/>
        <n v="90.17"/>
        <n v="59.54"/>
        <n v="75.91"/>
        <n v="85.39"/>
        <n v="138.41"/>
        <n v="81.77"/>
        <n v="110.45"/>
        <n v="98.4"/>
        <n v="91.28"/>
        <n v="61.19"/>
        <n v="109.21"/>
        <n v="105.77"/>
        <n v="57.06"/>
        <n v="88.85"/>
        <n v="94.51"/>
        <n v="68.7"/>
        <n v="86.66"/>
        <n v="77.81"/>
        <n v="103.6"/>
        <n v="76.43"/>
        <n v="101.43"/>
        <n v="63.63"/>
        <n v="78.28"/>
        <n v="108.34"/>
        <n v="92.14"/>
        <n v="60.69"/>
        <n v="82.02"/>
        <n v="100.08"/>
        <n v="59.03"/>
        <n v="118.19"/>
        <n v="75.55"/>
        <n v="87.27"/>
        <n v="66.45"/>
        <n v="75.67"/>
        <n v="81.11"/>
        <n v="83.59"/>
        <n v="106.07"/>
        <n v="59.53"/>
        <n v="107.48"/>
        <n v="115.9"/>
        <n v="69.86"/>
        <n v="116.52"/>
        <n v="104.86"/>
        <n v="95.88"/>
        <n v="106.33"/>
        <n v="87.52"/>
        <n v="77.06"/>
        <n v="67.99"/>
        <n v="78.65"/>
        <n v="82.06"/>
        <n v="110.99"/>
        <n v="79.96"/>
        <n v="84.6"/>
        <n v="182.5"/>
        <n v="107.88"/>
        <n v="88.98"/>
        <n v="51.6"/>
        <n v="93.42"/>
        <n v="109.84"/>
        <n v="71.99"/>
        <n v="70.41"/>
        <n v="138.57"/>
        <n v="130.61"/>
        <n v="73.89"/>
        <n v="94.18"/>
        <n v="53.08"/>
        <n v="87.88"/>
        <n v="51.66"/>
        <n v="126.66"/>
        <n v="59.83"/>
        <n v="98.41"/>
        <n v="100.14"/>
        <n v="129.83"/>
        <n v="66.41"/>
        <n v="91.2"/>
        <n v="75.37"/>
        <n v="77.59"/>
        <n v="112.72"/>
        <n v="146.76"/>
        <n v="79.23"/>
        <n v="75.46"/>
        <n v="96.85"/>
        <n v="78.46"/>
        <n v="99.54"/>
        <n v="84.89"/>
        <n v="99.05"/>
        <n v="79.69"/>
        <n v="91.66"/>
        <n v="111.06"/>
        <n v="83.85"/>
        <n v="71.1"/>
        <n v="76.49"/>
        <n v="115.05"/>
        <n v="74.12"/>
        <n v="101.6"/>
        <n v="93.23"/>
        <n v="80.59"/>
        <n v="111.91"/>
        <n v="86.12"/>
        <n v="99.32"/>
        <n v="89.57"/>
        <n v="126.22"/>
        <n v="86.51"/>
        <n v="56.7"/>
        <n v="73.23"/>
        <n v="65.48"/>
        <n v="100.67"/>
        <n v="127.75"/>
        <n v="72.93"/>
        <n v="63.91"/>
        <n v="90.33"/>
        <n v="72.24"/>
        <n v="81.04"/>
        <n v="108.02"/>
        <n v="112.55"/>
        <n v="140.64"/>
        <n v="73.5"/>
        <n v="87.51"/>
        <n v="114.42"/>
        <n v="104.66"/>
        <n v="84.59"/>
        <n v="124.32"/>
        <n v="123.69"/>
        <n v="124.81"/>
        <n v="72.73"/>
        <n v="79.07"/>
        <n v="127.64"/>
        <n v="70.64"/>
        <n v="111.12"/>
        <n v="76.97"/>
        <n v="117.14"/>
        <n v="102.04"/>
        <n v="84.53"/>
        <n v="95.87"/>
        <n v="106.5"/>
        <n v="137.41"/>
        <n v="62.21"/>
        <n v="82.95"/>
        <n v="112.86"/>
        <n v="81.03"/>
        <n v="88.67"/>
        <n v="80.29"/>
        <n v="22.31"/>
        <n v="24.22"/>
        <n v="23.176"/>
        <m/>
      </sharedItems>
    </cacheField>
    <cacheField name="height" numFmtId="0">
      <sharedItems containsString="0" containsBlank="1" containsNumber="1">
        <n v="1.59"/>
        <n v="1.64"/>
        <n v="1.73"/>
        <n v="1.5"/>
        <n v="1.63"/>
        <n v="1.77"/>
        <n v="1.68"/>
        <n v="1.71"/>
        <n v="1.82"/>
        <n v="1.75"/>
        <n v="1.78"/>
        <n v="1.65"/>
        <n v="1.56"/>
        <n v="1.54"/>
        <n v="1.55"/>
        <n v="1.67"/>
        <n v="1.58"/>
        <n v="1.7"/>
        <n v="1.79"/>
        <n v="1.72"/>
        <n v="1.69"/>
        <n v="1.85"/>
        <n v="1.62"/>
        <n v="1.76"/>
        <n v="1.74"/>
        <n v="1.66"/>
        <n v="1.87"/>
        <n v="1.92"/>
        <n v="1.6"/>
        <n v="1.61"/>
        <n v="1.57"/>
        <n v="1.52"/>
        <n v="1.86"/>
        <n v="1.51"/>
        <n v="1.83"/>
        <n v="1.44"/>
        <n v="1.84"/>
        <n v="1.53"/>
        <n v="1.8"/>
        <n v="1.81"/>
        <n v="1.94"/>
        <n v="1.42"/>
        <n v="1.89"/>
        <n v="1.49"/>
        <n v="1.46"/>
        <n v="1.43"/>
        <n v="1.48"/>
        <n v="1.91"/>
        <n v="1.47"/>
        <n v="1.88"/>
        <n v="1.193"/>
        <n v="1.2744"/>
        <n v="1.26343"/>
        <m/>
      </sharedItems>
    </cacheField>
    <cacheField name="trt_grp" numFmtId="0">
      <sharedItems containsBlank="1">
        <s v="DRUG"/>
        <s v="CONTROL"/>
        <m/>
      </sharedItems>
    </cacheField>
    <cacheField name="RESPONSE" numFmtId="0">
      <sharedItems containsBlank="1">
        <s v="N"/>
        <s v="Y"/>
        <m/>
      </sharedItems>
    </cacheField>
    <cacheField name="BMI" numFmtId="0">
      <sharedItems containsString="0" containsBlank="1" containsNumber="1">
        <n v="33.4875993829358"/>
        <n v="26.476055919095778"/>
        <n v="23.33856794413445"/>
        <n v="27.973333333333333"/>
        <n v="42.87327336369453"/>
        <n v="25.321587027993232"/>
        <n v="30.680838839413962"/>
        <n v="35.191388460235615"/>
        <n v="30.318168934240365"/>
        <m/>
        <n v="37.31746520296844"/>
        <n v="37.743026204564664"/>
        <n v="27.03727324263039"/>
        <n v="29.711020408163265"/>
        <n v="25.602476938299972"/>
        <n v="29.667248042132623"/>
        <n v="45.496149476076255"/>
        <n v="29.759071980963718"/>
        <n v="42.98122448979592"/>
        <n v="34.66666666666667"/>
        <n v="38.77982577957329"/>
        <n v="35.211209730440494"/>
        <n v="39.660066345200235"/>
        <n v="28.824422330915837"/>
        <n v="36.617079889807165"/>
        <n v="31.192507804370443"/>
        <n v="39.62442472057857"/>
        <n v="23.07719889562193"/>
        <n v="22.224002563691712"/>
        <n v="34.2060353798127"/>
        <n v="35.761245674740486"/>
        <n v="31.555572283488278"/>
        <n v="24.47124862173811"/>
        <n v="19.765300708467276"/>
        <n v="27.324365656502607"/>
        <n v="23.69186046511628"/>
        <n v="32.87676144716555"/>
        <n v="32.7558001189768"/>
        <n v="38.10505678745268"/>
        <n v="36.59327074075311"/>
        <n v="33.96258677883794"/>
        <n v="40.25242927319015"/>
        <n v="22.625258219250032"/>
        <n v="45.202664399092974"/>
        <n v="27.271454080739474"/>
        <n v="41.42469385178639"/>
        <n v="29.320672023374723"/>
        <n v="27.656683975365294"/>
        <n v="39.19229176860251"/>
        <n v="19.34258929630948"/>
        <n v="24.070263679317172"/>
        <n v="24.107674003569308"/>
        <n v="33.61911294010059"/>
        <n v="34.740259740259745"/>
        <n v="22.880948565934943"/>
        <n v="37.56678260245975"/>
        <n v="46.56609014013382"/>
        <n v="40.26588750913075"/>
        <n v="41.356468064285444"/>
        <n v="32.52698052056533"/>
        <n v="24.9322055785124"/>
        <n v="25.254326859558724"/>
        <n v="32.743150136196114"/>
        <n v="28.947269374082577"/>
        <n v="32.4100370877744"/>
        <n v="42.443545465523485"/>
        <n v="19.564247471743013"/>
        <n v="28.535314128772512"/>
        <n v="32.893017854550735"/>
        <n v="28.518853305785125"/>
        <n v="42.995224341559656"/>
        <n v="34.63541666666667"/>
        <n v="31.91184573002755"/>
        <n v="24.63094160606723"/>
        <n v="32.305483599138604"/>
        <n v="37.46874999999999"/>
        <n v="42.895249820457586"/>
        <n v="25.008433125316245"/>
        <n v="22.411242603550292"/>
        <n v="29.312140735311136"/>
        <n v="24.61704342653183"/>
        <n v="48.988281249999986"/>
        <n v="31.951227297392187"/>
        <n v="36.42171444023797"/>
        <n v="38.3544971398434"/>
        <n v="36.88488895340398"/>
        <n v="26.668054110301764"/>
        <n v="19.041756437878323"/>
        <n v="32.18791837397055"/>
        <n v="46.45083102493074"/>
        <n v="23.693333333333335"/>
        <n v="24.79191438763377"/>
        <n v="33.6130612244898"/>
        <n v="31.75086505190312"/>
        <n v="20.146062856964512"/>
        <n v="28.581797067789232"/>
        <n v="49.74218749999999"/>
        <n v="38.77665347851966"/>
        <n v="25.955017301038065"/>
        <n v="22.207346938775512"/>
        <n v="26.27681660899654"/>
        <n v="39.52169625246548"/>
        <n v="28.438563091039608"/>
        <n v="22.243618920906133"/>
        <n v="29.20935874110249"/>
        <n v="34.25696782830946"/>
        <n v="37.37480040644506"/>
        <n v="32.90585137307206"/>
        <n v="33.95515927977839"/>
        <n v="31.246093749999993"/>
        <n v="33.640260838063035"/>
        <n v="30.370728172925972"/>
        <n v="31.327842914519856"/>
        <n v="33.531233042867626"/>
        <n v="33.55580417422167"/>
        <n v="28.332240268508155"/>
        <n v="23.09382086167801"/>
        <n v="52.952111838191556"/>
        <n v="34.09733700642792"/>
        <n v="33.25477789256199"/>
        <n v="26.59862597436914"/>
        <n v="33.13636192555234"/>
        <n v="55.117854679703036"/>
        <n v="43.04198045185066"/>
        <n v="32.95178633368019"/>
        <n v="34.48468173706128"/>
        <n v="27.87837498655384"/>
        <n v="29.465564738292013"/>
        <n v="33.16959782465681"/>
        <n v="34.09342560553634"/>
        <n v="38.21484374999999"/>
        <n v="21.113109074163415"/>
        <n v="33.608815426997246"/>
        <n v="30.427901699065362"/>
        <n v="28.630196590324747"/>
        <n v="31.360918209876544"/>
        <n v="36.796982167352525"/>
        <n v="20.923637127551558"/>
        <n v="39.64909469636276"/>
        <n v="32.058396089311664"/>
        <n v="32.06268409162401"/>
        <n v="32.950117665213526"/>
        <n v="32.52745865421033"/>
        <n v="30.621301775147924"/>
        <n v="33.43944636678201"/>
        <n v="26.965253005681067"/>
        <n v="36.903355387523625"/>
        <n v="21.786979254511724"/>
        <n v="34.28880058639712"/>
        <n v="40.31141868512111"/>
        <n v="47.515081873025"/>
        <n v="50.30468749999999"/>
        <n v="24.27662814655558"/>
        <n v="25.027308760650417"/>
        <n v="28.62060310516691"/>
        <n v="40.80569727891157"/>
        <n v="29.72736732570239"/>
        <n v="37.08149516090422"/>
        <n v="43.78690669986275"/>
        <n v="29.7067789229206"/>
        <n v="31.25551020408163"/>
        <n v="29.790504193257373"/>
        <n v="32.64987661489331"/>
        <n v="29.73581071273044"/>
        <n v="31.687918192147457"/>
        <n v="28.1056684762025"/>
        <n v="30.8396089311666"/>
        <n v="35.18660830632497"/>
        <n v="28.787400580734754"/>
        <n v="43.69674897256841"/>
        <n v="29.427575614366727"/>
        <n v="32.77212057284271"/>
        <n v="31.030475206611573"/>
        <n v="67.51560128183505"/>
        <n v="44.5336871167844"/>
        <n v="38.73626373626374"/>
        <n v="22.904305011993433"/>
        <n v="35.061904196827655"/>
        <n v="27.447818686732955"/>
        <n v="26.719903772261016"/>
        <n v="27.51615881809788"/>
        <n v="35.581314878892734"/>
        <n v="29.828964824841336"/>
        <n v="31.822471331750975"/>
        <n v="27.88417772486958"/>
        <n v="31.465241446798903"/>
        <n v="22.423313862555457"/>
        <n v="32.92795812186792"/>
        <n v="30.49254560211884"/>
        <n v="51.702506163977404"/>
        <n v="24.326198969480778"/>
        <n v="39.27910741126141"/>
        <n v="24.13132514202669"/>
        <n v="22.981670367721783"/>
        <n v="34.96822606814495"/>
        <n v="30.511666507070125"/>
        <n v="30.585719536235757"/>
        <n v="39.882096629501476"/>
        <n v="27.0799141522535"/>
        <n v="20.15839981500751"/>
        <n v="37.64223941738735"/>
        <n v="37.54751778388348"/>
        <n v="37.796143250688715"/>
        <n v="32.85123966942149"/>
        <n v="35.68359374999999"/>
        <n v="27.606959608039812"/>
        <n v="42.21778346493556"/>
        <n v="34.25925925925925"/>
        <n v="42.264499933941075"/>
        <n v="33.79783621021674"/>
        <n v="41.992978665946524"/>
        <n v="35.93225570001157"/>
        <n v="29.642448979591837"/>
        <n v="29.053439341798185"/>
        <n v="37.92816104556818"/>
        <n v="34.44159589809325"/>
        <n v="31.30752373995617"/>
        <n v="25.212585034013607"/>
        <n v="28.419000718169695"/>
        <n v="23.439690845046343"/>
        <n v="34.47556513115147"/>
        <n v="35.4083044982699"/>
        <n v="36.84807256235828"/>
        <n v="36.80144641683103"/>
        <n v="45.46947604550552"/>
        <n v="43.576239267132685"/>
        <n v="46.01891142370276"/>
        <n v="25.207612456747405"/>
        <n v="34.81172839506173"/>
        <n v="29.498269896193776"/>
        <n v="43.36313037611739"/>
        <n v="35.756744398719704"/>
        <n v="43.79376403752147"/>
        <n v="30.4142120203901"/>
        <n v="18.165076681560198"/>
        <n v="29.072664359861594"/>
        <n v="32.67064074154989"/>
        <n v="25.276153346328787"/>
        <n v="27.06142356348117"/>
        <n v="38.033046031088865"/>
        <n v="29.832953975541063"/>
        <n v="31.01732186258246"/>
        <n v="52.37452258786311"/>
        <n v="34.92298952152506"/>
        <n v="29.925777188138692"/>
        <n v="30.993648057710104"/>
        <n v="27.6186975842828"/>
        <n v="24.314814814814813"/>
        <n v="35.37747759121323"/>
        <n v="27.6253619875019"/>
        <n v="33.497566365075095"/>
        <n v="30.127383432142278"/>
        <n v="28.536940686784597"/>
        <n v="25.950616201043815"/>
        <n v="33.33203124999999"/>
        <n v="30.655586334256697"/>
        <n v="29.954461123292294"/>
        <n v="31.668752480083025"/>
        <n v="32.10553055595878"/>
        <n v="32.035916300779235"/>
        <n v="33.569197184688925"/>
        <n v="36.3117537901334"/>
        <n v="39.87139234391981"/>
        <n v="25.216565800403462"/>
        <n v="27.240130517408296"/>
        <n v="45.48046874999999"/>
        <n v="24.864791779340187"/>
        <n v="22.747767923795873"/>
        <n v="32.838239982995006"/>
        <n v="34.284942710543575"/>
        <n v="40.061649659863946"/>
        <n v="26.172716207359322"/>
        <n v="27.680311890838208"/>
        <n v="24.801543791938947"/>
        <n v="25.190082644628102"/>
        <n v="38.13490537827331"/>
        <n v="35.87566095177054"/>
        <n v="32.2551740085559"/>
        <n v="30.450214112109872"/>
        <n v="26.872359963269055"/>
        <n v="25.89963081666599"/>
        <n v="38.82622268470343"/>
        <n v="45.65024497511669"/>
        <n v="20.567398021285232"/>
        <n v="36.32575903707418"/>
        <n v="36.98590842267561"/>
        <n v="36.66680189865714"/>
        <n v="43.414966474237154"/>
        <n v="40.314021314854614"/>
        <n v="21.647690851927596"/>
        <n v="35.54336229233348"/>
        <n v="27.880527210884356"/>
        <n v="30.56943910461788"/>
        <n v="36.51562499999999"/>
        <n v="23.640927977839333"/>
        <n v="32.28367176878207"/>
        <n v="31.27259814049587"/>
        <n v="35.66113945578232"/>
        <n v="52.66486759993254"/>
        <n v="20.905470914127424"/>
        <n v="39.177680778975"/>
        <n v="25.461891643709826"/>
        <n v="24.649443682365487"/>
        <n v="30.577037477691853"/>
        <n v="33.06761736901137"/>
        <n v="26.21854912764004"/>
        <n v="39.256055363321806"/>
        <n v="26.298057867617917"/>
        <n v="29.172374619933844"/>
        <n v="35.93030900723208"/>
        <n v="33.784220041322314"/>
        <n v="19.145328719723185"/>
        <n v="30.274984129105547"/>
        <n v="37.838367346938774"/>
        <n v="23.47584209724127"/>
        <n v="27.663465935070867"/>
        <n v="31.474747474747478"/>
        <n v="27.05161352101886"/>
        <n v="26.76005225722166"/>
        <n v="35.777856888572444"/>
        <n v="25.529644871208653"/>
        <n v="34.7960425704566"/>
        <n v="34.64179970086383"/>
        <n v="45.17877551020408"/>
        <n v="30.76101249178172"/>
        <n v="23.21506269530477"/>
        <n v="32.40520544325538"/>
        <n v="43.446366782006926"/>
        <n v="23.559297430686605"/>
        <n v="23.716049382716047"/>
        <n v="47.98049077884468"/>
        <n v="33.70267774699908"/>
        <n v="31.367205708343793"/>
        <n v="33.75735316073934"/>
        <n v="40.108067439554056"/>
        <n v="25.84209724127419"/>
        <n v="25.613061224489794"/>
        <n v="31.83737024221454"/>
        <n v="34.70551508844952"/>
        <n v="36.75595238095239"/>
        <n v="38.04759500063123"/>
        <n v="28.628906249999996"/>
        <n v="23.617915975463905"/>
        <n v="21.788358252286255"/>
        <n v="40.631305358913856"/>
        <n v="41.99950690335305"/>
        <n v="31.028044505410758"/>
        <n v="34.07020408163265"/>
        <n v="26.964897959183673"/>
        <n v="42.18518518518518"/>
        <n v="30.343633557905832"/>
        <n v="33.48975922108679"/>
        <n v="39.36968336483932"/>
        <n v="35.36009445100354"/>
        <n v="36.27912228537017"/>
        <n v="31.035143158096332"/>
        <n v="29.417598577340037"/>
        <n v="38.92733564013841"/>
        <n v="38.466536712150756"/>
        <n v="34.62438750351112"/>
        <n v="34.13281249999999"/>
        <n v="27.486637403326462"/>
        <n v="20.939776341438392"/>
        <n v="27.368212445501385"/>
        <n v="32.84113865932048"/>
        <n v="38.41322314049587"/>
        <n v="35.650887573964496"/>
        <n v="34.84830505122424"/>
        <n v="35.8047378796485"/>
        <n v="39.437510541406645"/>
        <n v="25.112580632074323"/>
        <n v="37.1739218629559"/>
        <n v="47.95616471440647"/>
        <n v="42.98887364730985"/>
        <n v="30.730149513717524"/>
        <n v="19.94805976890361"/>
        <n v="25.408982748364075"/>
        <n v="25.02540281608361"/>
        <n v="24.019376181474478"/>
        <n v="22.20230198286063"/>
        <n v="32.36642460140371"/>
        <n v="43.06703397612489"/>
        <n v="31.82736455463729"/>
        <n v="31.239265424758884"/>
        <n v="31.70486767485822"/>
        <n v="45.17304189435337"/>
        <n v="23.430552151535313"/>
        <n v="21.95549458923944"/>
        <n v="32.63494318181819"/>
        <n v="27.460523090928195"/>
        <n v="24.53419056833432"/>
        <n v="34.033601168736304"/>
        <n v="21.205093607691012"/>
        <n v="34.64840297942179"/>
        <n v="31.678200692041525"/>
        <n v="24.102269462798045"/>
        <n v="35.09342560553634"/>
        <n v="31.188662190082646"/>
        <n v="32.99375371802499"/>
        <n v="41.620425419474174"/>
        <n v="28.98948331047096"/>
        <n v="21.68130165289256"/>
        <n v="25.730588093225457"/>
        <n v="42.58668292158198"/>
        <n v="35.5188377432346"/>
        <n v="34.07738095238096"/>
        <n v="42.22879154349188"/>
        <n v="26.038062283737027"/>
        <n v="34.24408014571949"/>
        <n v="35.6505702134066"/>
        <n v="27.171019636588095"/>
        <n v="38.177944214876035"/>
        <n v="18.062647436471675"/>
        <n v="26.353149955634425"/>
        <n v="45.131835436544584"/>
        <n v="25.88772069033922"/>
        <n v="40.10448979591837"/>
        <n v="30.626085069444446"/>
        <n v="42.83870967741935"/>
        <n v="36.78512814038631"/>
        <n v="34.15590071127885"/>
        <n v="40.385098067338376"/>
        <n v="34.80555555555555"/>
        <n v="22.10548961956327"/>
        <n v="30.327123135951897"/>
        <n v="29.843011736015843"/>
        <n v="25.632807363576593"/>
        <n v="24.403746097814775"/>
        <n v="42.59720738894822"/>
        <n v="36.997222968736"/>
        <n v="29.566106647187723"/>
        <n v="17.975420620923266"/>
        <n v="36.96082914189909"/>
        <n v="34.30593132154006"/>
        <n v="32.22552598893448"/>
        <n v="33.086704342653185"/>
        <n v="30.37719645924164"/>
        <n v="29.516362758120998"/>
        <n v="59.12934337428987"/>
        <n v="25.2993759487266"/>
        <n v="36.35265306122449"/>
        <n v="33.599064625850346"/>
        <n v="30.40600832837597"/>
        <n v="20.955981636510934"/>
        <n v="28.98518084770956"/>
        <n v="39.67214104576742"/>
        <n v="19.519031141868513"/>
        <n v="37.399853171183246"/>
        <n v="33.20037858301785"/>
        <n v="26.444243313254894"/>
        <n v="30.062492109582124"/>
        <n v="37.6969696969697"/>
        <n v="26.003245471689837"/>
        <n v="20.79636052430071"/>
        <n v="21.74481056757149"/>
        <n v="35.5118907066959"/>
        <n v="27.40309141408042"/>
        <n v="23.853071178174055"/>
        <n v="21.62099664701121"/>
        <n v="27.85017527815881"/>
        <n v="36.352701393297465"/>
        <n v="29.818207895586074"/>
        <n v="45.675852813582594"/>
        <n v="41.499491889043625"/>
        <n v="32.87374262920569"/>
        <n v="38.75552507239749"/>
        <n v="29.861696744813624"/>
        <n v="29.048929208804285"/>
        <n v="26.93771626297578"/>
        <n v="33.683114077388986"/>
        <n v="23.548209366391188"/>
        <n v="25.667584940312214"/>
        <n v="27.666982152514873"/>
        <n v="35.57513914656772"/>
        <n v="35.02288750041765"/>
        <n v="27.887613378684808"/>
        <n v="37.782840735307886"/>
        <n v="44.3811558087101"/>
        <n v="42.11233539371136"/>
        <n v="40.73465790738663"/>
        <n v="46.016646848989296"/>
        <n v="25.361632653061225"/>
        <n v="26.066918275511686"/>
        <n v="36.30258277924421"/>
        <n v="33.09659090909091"/>
        <n v="32.86160249739854"/>
        <n v="28.697944835045977"/>
        <n v="26.648301193755742"/>
        <n v="26.015624999999993"/>
        <n v="29.760433024825417"/>
        <n v="25.066058924560707"/>
        <n v="29.203749851667258"/>
        <n v="25.18492148253629"/>
        <n v="37.05772249728293"/>
        <n v="39.25413302575932"/>
        <n v="33.20215830256806"/>
        <n v="37.31900624904739"/>
        <n v="33.082071389940516"/>
        <n v="36.260330578512395"/>
        <n v="28.781445281204928"/>
        <n v="30.248691630492107"/>
        <n v="24.910927456382"/>
        <n v="29.541189716644777"/>
        <n v="22.020202020202024"/>
        <n v="23.892244897959184"/>
        <n v="27.255247556481333"/>
        <n v="25.708382526564346"/>
        <n v="31.696162998215353"/>
        <n v="30.384550514420646"/>
        <n v="37.37654320987654"/>
        <n v="32.9758382642998"/>
        <n v="19.511478420569333"/>
        <n v="24.693851786390606"/>
        <n v="33.141787190082646"/>
        <n v="34.086605226612804"/>
        <n v="31.781181281586353"/>
        <n v="21.879743632990387"/>
        <n v="18.195312499999996"/>
        <n v="26.46285338593031"/>
        <n v="30.475458585318584"/>
        <n v="24.474030243261012"/>
        <n v="29.49346090042822"/>
        <n v="44.81476473769606"/>
        <n v="40.99381006121542"/>
        <n v="29.463019848771264"/>
        <n v="33.00634165675783"/>
        <n v="33.08593749999999"/>
        <n v="29.505190311418687"/>
        <n v="21.722681359044998"/>
        <n v="36.028150274850326"/>
        <n v="35.96193771626298"/>
        <n v="39.22688167894757"/>
        <n v="32.312839287968686"/>
        <n v="34.82031249999999"/>
        <n v="39.50488703733376"/>
        <n v="31.63321799307959"/>
        <n v="34.669924691555835"/>
        <n v="43.7524029219531"/>
        <n v="33.01560874089489"/>
        <n v="32.85471302559234"/>
        <n v="28.360863171574167"/>
        <n v="27.047403925399102"/>
        <n v="31.895050079837425"/>
        <n v="27.537037037037035"/>
        <n v="30.041279271633037"/>
        <n v="37.09684309453629"/>
        <n v="25.558842866535173"/>
        <n v="37.680697278911566"/>
        <n v="27.67374256354787"/>
        <n v="45.90130296501488"/>
        <n v="29.84156040903926"/>
        <n v="33.74859798109277"/>
        <n v="41.559580720143856"/>
        <n v="37.535353535353536"/>
        <n v="26.748971193415635"/>
        <n v="32.48331468693337"/>
        <n v="26.130295478818084"/>
        <n v="38.48630223456634"/>
        <n v="31.82182342573305"/>
        <n v="30.925925925925924"/>
        <n v="34.31819037223833"/>
        <n v="32.60984218426711"/>
        <n v="22.42938775510204"/>
        <n v="29.1204705246079"/>
        <n v="34.82828282828283"/>
        <n v="30.08044889129259"/>
        <n v="35.486591330747174"/>
        <n v="23.688730347469942"/>
        <n v="42.464348004514214"/>
        <n v="26.916666666666664"/>
        <n v="34.315191843960804"/>
        <n v="41.77896683841987"/>
        <n v="24.995994231693633"/>
        <n v="26.202499684383284"/>
        <n v="38.571525148729044"/>
        <n v="28.519545883496807"/>
        <n v="22.362436305187924"/>
        <n v="34.79989900265118"/>
        <n v="24.309302608625096"/>
        <n v="32.86832470647646"/>
        <n v="20.99497518804032"/>
        <n v="46.79622790347449"/>
        <n v="38.84860837314979"/>
        <n v="34.275450138504155"/>
        <n v="28.494131992074372"/>
        <n v="33.23242096064418"/>
        <n v="31.6422248645792"/>
        <n v="45.15212725665951"/>
        <n v="27.713696767685626"/>
        <n v="36.83610367966317"/>
        <n v="23.135605653088174"/>
        <n v="27.205262270197334"/>
        <n v="23.4586262844781"/>
        <n v="27.527230735619987"/>
        <n v="34.903763286411944"/>
        <n v="28.039074935239228"/>
        <n v="35.36326530612245"/>
        <n v="39.53930684699915"/>
        <n v="19.391959952382408"/>
        <n v="41.52209642074507"/>
        <n v="23.78451578808297"/>
        <n v="30.78015143320714"/>
        <n v="32.77164669119101"/>
        <n v="37.898005020478266"/>
        <n v="32.68706937990706"/>
        <n v="36.20612730517549"/>
        <n v="25.78569008995446"/>
        <n v="28.781640014044495"/>
        <n v="19.893748538207088"/>
        <n v="28.223527662105894"/>
        <n v="32.138958937107155"/>
        <n v="37.94029768920808"/>
        <n v="23.891891891891888"/>
        <n v="40.666666666666664"/>
        <n v="43.68893635536568"/>
        <n v="30.710651977154274"/>
        <n v="37.508218277449046"/>
        <n v="24.824536492352628"/>
        <n v="32.25720699432892"/>
        <n v="34.1457902892562"/>
        <n v="24.697022160664822"/>
        <n v="27.120661762461463"/>
        <n v="34.297430686601835"/>
        <n v="26.17741197988111"/>
        <n v="27.35134452720616"/>
        <n v="25.700224600343507"/>
        <n v="30.935531069903544"/>
        <n v="28.766607700703833"/>
        <n v="31.425053862726998"/>
        <n v="41.14974238305814"/>
        <n v="19.42248405115839"/>
        <n v="29.10469958358121"/>
        <n v="34.19391490973362"/>
        <n v="29.41045038143573"/>
        <n v="28.08551992225462"/>
        <n v="27.404858164322228"/>
        <n v="39.58704165183339"/>
        <n v="23.349551046240258"/>
        <n v="37.30273955308673"/>
        <n v="28.435394632842787"/>
        <n v="26.059303054734386"/>
        <n v="25.32007315957933"/>
        <n v="33.63111111111111"/>
        <n v="34.20053972002024"/>
        <n v="26.681349548341792"/>
        <n v="33.913580246913575"/>
        <n v="38.49252431412397"/>
        <n v="21.603280592248513"/>
        <n v="39.004209609522434"/>
        <n v="38.72498245848508"/>
        <n v="27.633400577508798"/>
        <n v="42.798898071625345"/>
        <n v="37.599053390225535"/>
        <n v="37.925714963806804"/>
        <n v="33.55952531246054"/>
        <n v="34.61888374668723"/>
        <n v="32.4928318434812"/>
        <n v="27.58326909813785"/>
        <n v="34.0417243767313"/>
        <n v="30.88561857804208"/>
        <n v="33.142225805488366"/>
        <n v="25.23671253629592"/>
        <n v="35.6721200877045"/>
        <n v="56.95827221372616"/>
        <n v="35.22612244897959"/>
        <n v="30.788927335640143"/>
        <n v="24.88425925925926"/>
        <n v="35.161278181339156"/>
        <n v="35.866122448979596"/>
        <n v="24.053593504627617"/>
        <n v="24.07920385759721"/>
        <n v="49.68625623005486"/>
        <n v="44.666735063780315"/>
        <n v="32.406473400289464"/>
        <n v="32.975035888099164"/>
        <n v="22.974376731301938"/>
        <n v="28.05068786108717"/>
        <n v="24.235316194407957"/>
        <n v="45.964581216431995"/>
        <n v="24.58497698882314"/>
        <n v="42.03938656072451"/>
        <n v="39.11718749999999"/>
        <n v="38.34770793950851"/>
        <n v="23.5296201814059"/>
        <n v="30.122869599682918"/>
        <n v="29.812902970610338"/>
        <n v="24.766191068977623"/>
        <n v="34.02970655717908"/>
        <n v="44.3062432073421"/>
        <n v="35.68758164046665"/>
        <n v="27.717171717171716"/>
        <n v="34.64617768595041"/>
        <n v="38.30940231794628"/>
        <n v="28.472927856002322"/>
        <n v="39.87341772151898"/>
        <n v="34.439531015457014"/>
        <n v="32.9484743088673"/>
        <n v="38.212260329462595"/>
        <n v="31.128906249999993"/>
        <n v="29.257237703086595"/>
        <n v="41.29238548483047"/>
        <n v="26.16959520614213"/>
        <n v="29.594172736732563"/>
        <n v="33.995555555555555"/>
        <n v="33.61577794010226"/>
        <n v="22.876543209876544"/>
        <n v="35.57298413921082"/>
        <n v="35.524310318549"/>
        <n v="28.896697622718637"/>
        <n v="37.82787993510006"/>
        <n v="29.110329908058414"/>
        <n v="39.28642063209524"/>
        <n v="32.89990817263545"/>
        <n v="38.956790123456784"/>
        <n v="35.63312713041283"/>
        <n v="32.56050284165757"/>
        <n v="23.002961580591506"/>
        <n v="30.091222879684416"/>
        <n v="28.341412742382275"/>
        <n v="28.182301727275274"/>
        <n v="44.20415224913495"/>
        <n v="28.847751275661565"/>
        <n v="23.19277108433735"/>
        <n v="35.28515624999999"/>
        <n v="27.189581843501827"/>
        <n v="32.05569399944623"/>
        <n v="36.09208460022052"/>
        <n v="38.944636678200695"/>
        <n v="41.99587924393084"/>
        <n v="30.991735537190085"/>
        <n v="28.250903925619838"/>
        <n v="32.373245812584884"/>
        <n v="40.376528683306965"/>
        <n v="29.970946712018147"/>
        <n v="49.1752699655868"/>
        <n v="46.55425495878656"/>
        <n v="36.07642502023355"/>
        <n v="24.02232791650152"/>
        <n v="31.276452671967085"/>
        <n v="38.53399347904842"/>
        <n v="25.946740128558314"/>
        <n v="43.40624999999999"/>
        <n v="32.454882779558105"/>
        <n v="36.154320987654316"/>
        <n v="31.846696420211607"/>
        <n v="36.11004314579863"/>
        <n v="37.44921874999999"/>
        <n v="35.17637732857709"/>
        <n v="28.31701694009155"/>
        <n v="43.86032110823837"/>
        <n v="22.575845550878213"/>
        <n v="32.81120208852498"/>
        <n v="36.43465909090909"/>
        <n v="25.86421526381308"/>
        <n v="29.97228231476474"/>
        <n v="30.219428657457943"/>
      </sharedItems>
    </cacheField>
    <cacheField name="protein_concentration">
      <sharedItems containsBlank="1" containsMixedTypes="1" containsNumber="1" containsInteger="1">
        <n v="148.0"/>
        <n v="85.0"/>
        <n v="183.0"/>
        <n v="89.0"/>
        <n v="137.0"/>
        <n v="116.0"/>
        <n v="78.0"/>
        <n v="115.0"/>
        <n v="197.0"/>
        <m/>
        <n v="110.0"/>
        <n v="168.0"/>
        <n v="139.0"/>
        <n v="189.0"/>
        <n v="166.0"/>
        <n v="100.0"/>
        <n v="118.0"/>
        <n v="107.0"/>
        <n v="103.0"/>
        <n v="126.0"/>
        <n v="99.0"/>
        <n v="196.0"/>
        <n v="119.0"/>
        <n v="143.0"/>
        <n v="125.0"/>
        <n v="147.0"/>
        <n v="97.0"/>
        <n v="145.0"/>
        <n v="117.0"/>
        <n v="109.0"/>
        <n v="158.0"/>
        <n v="88.0"/>
        <n v="92.0"/>
        <n v="122.0"/>
        <n v="138.0"/>
        <n v="102.0"/>
        <n v="90.0"/>
        <n v="111.0"/>
        <n v="180.0"/>
        <n v="133.0"/>
        <n v="106.0"/>
        <n v="171.0"/>
        <n v="159.0"/>
        <n v="146.0"/>
        <n v="71.0"/>
        <n v="101.0"/>
        <n v="176.0"/>
        <n v="150.0"/>
        <n v="73.0"/>
        <n v="187.0"/>
        <n v="105.0"/>
        <n v="44.0"/>
        <n v="141.0"/>
        <n v="114.0"/>
        <n v="95.0"/>
        <n v="129.0"/>
        <n v="79.0"/>
        <s v="NA"/>
        <n v="62.0"/>
        <n v="131.0"/>
        <n v="112.0"/>
        <n v="113.0"/>
        <n v="83.0"/>
        <n v="136.0"/>
        <n v="80.0"/>
        <n v="123.0"/>
        <n v="81.0"/>
        <n v="134.0"/>
        <n v="142.0"/>
        <n v="144.0"/>
        <n v="93.0"/>
        <n v="163.0"/>
        <n v="151.0"/>
        <n v="96.0"/>
        <n v="155.0"/>
        <n v="76.0"/>
        <n v="160.0"/>
        <n v="124.0"/>
        <n v="162.0"/>
        <n v="132.0"/>
        <n v="120.0"/>
        <n v="173.0"/>
        <n v="170.0"/>
        <n v="84.0"/>
        <n v="128.0"/>
        <n v="108.0"/>
        <n v="154.0"/>
        <n v="57.0"/>
        <n v="156.0"/>
        <n v="153.0"/>
        <n v="188.0"/>
        <n v="152.0"/>
        <n v="104.0"/>
        <n v="87.0"/>
        <n v="75.0"/>
        <n v="179.0"/>
        <n v="130.0"/>
        <n v="194.0"/>
        <n v="181.0"/>
        <n v="135.0"/>
        <n v="184.0"/>
        <n v="140.0"/>
        <n v="177.0"/>
        <n v="74.0"/>
        <n v="164.0"/>
        <n v="91.0"/>
        <n v="165.0"/>
        <n v="86.0"/>
        <n v="193.0"/>
        <n v="191.0"/>
        <n v="161.0"/>
        <n v="167.0"/>
        <n v="77.0"/>
        <n v="182.0"/>
        <n v="157.0"/>
        <n v="178.0"/>
        <n v="61.0"/>
        <n v="98.0"/>
        <n v="127.0"/>
        <n v="82.0"/>
        <n v="72.0"/>
        <n v="172.0"/>
        <n v="94.0"/>
        <n v="175.0"/>
        <n v="195.0"/>
        <n v="68.0"/>
        <n v="186.0"/>
        <n v="198.0"/>
        <n v="121.0"/>
        <n v="67.0"/>
        <n v="174.0"/>
        <n v="199.0"/>
        <n v="56.0"/>
        <n v="169.0"/>
        <n v="149.0"/>
        <n v="65.0"/>
        <n v="190.0"/>
      </sharedItems>
    </cacheField>
    <cacheField name="response_label" numFmtId="0">
      <sharedItems containsBlank="1">
        <s v="Non-Responder"/>
        <s v="Responder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ponse_vs_proteinconcentratio" cacheId="0" dataCaption="" compact="0" compactData="0">
  <location ref="A1:B4" firstHeaderRow="0" firstDataRow="1" firstDataCol="0"/>
  <pivotFields>
    <pivotField name="sub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rt_grp" compact="0" outline="0" multipleItemSelectionAllowed="1" showAll="0">
      <items>
        <item x="0"/>
        <item x="1"/>
        <item x="2"/>
        <item t="default"/>
      </items>
    </pivotField>
    <pivotField name="RESPONSE" compact="0" outline="0" multipleItemSelectionAllowed="1" showAll="0">
      <items>
        <item x="0"/>
        <item x="1"/>
        <item x="2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protein_concent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sponse_label" axis="axisRow" compact="0" outline="0" multipleItemSelectionAllowed="1" showAll="0" sortType="ascending">
      <items>
        <item h="1" x="2"/>
        <item x="0"/>
        <item x="1"/>
        <item t="default"/>
      </items>
    </pivotField>
  </pivotFields>
  <rowFields>
    <field x="9"/>
  </rowFields>
  <dataFields>
    <dataField name="AVERAGE of protein_concentration" fld="8" subtotal="average" baseField="0"/>
  </dataFields>
</pivotTableDefinition>
</file>

<file path=xl/pivotTables/pivotTable2.xml><?xml version="1.0" encoding="utf-8"?>
<pivotTableDefinition xmlns="http://schemas.openxmlformats.org/spreadsheetml/2006/main" name="response_vs_bmi_pivot" cacheId="0" dataCaption="" compact="0" compactData="0">
  <location ref="A1:B4" firstHeaderRow="0" firstDataRow="1" firstDataCol="0"/>
  <pivotFields>
    <pivotField name="sub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rt_grp" compact="0" outline="0" multipleItemSelectionAllowed="1" showAll="0">
      <items>
        <item x="0"/>
        <item x="1"/>
        <item x="2"/>
        <item t="default"/>
      </items>
    </pivotField>
    <pivotField name="RESPONSE" compact="0" outline="0" multipleItemSelectionAllowed="1" showAll="0">
      <items>
        <item x="0"/>
        <item x="1"/>
        <item x="2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protein_concen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sponse_label" axis="axisRow" compact="0" outline="0" multipleItemSelectionAllowed="1" showAll="0" sortType="ascending">
      <items>
        <item h="1" x="2"/>
        <item x="0"/>
        <item x="1"/>
        <item t="default"/>
      </items>
    </pivotField>
  </pivotFields>
  <rowFields>
    <field x="9"/>
  </rowFields>
  <dataFields>
    <dataField name="AVERAGE of BMI" fld="7" subtotal="average" baseField="0"/>
  </dataFields>
</pivotTableDefinition>
</file>

<file path=xl/pivotTables/pivotTable3.xml><?xml version="1.0" encoding="utf-8"?>
<pivotTableDefinition xmlns="http://schemas.openxmlformats.org/spreadsheetml/2006/main" name="response_vs_age_pivot" cacheId="0" dataCaption="" compact="0" compactData="0">
  <location ref="A1:B5" firstHeaderRow="0" firstDataRow="1" firstDataCol="0"/>
  <pivotFields>
    <pivotField name="sub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rt_grp" compact="0" outline="0" multipleItemSelectionAllowed="1" showAll="0">
      <items>
        <item x="0"/>
        <item x="1"/>
        <item x="2"/>
        <item t="default"/>
      </items>
    </pivotField>
    <pivotField name="RESPONSE" compact="0" outline="0" multipleItemSelectionAllowed="1" showAll="0">
      <items>
        <item x="0"/>
        <item x="1"/>
        <item x="2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protein_concen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sponse_label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9"/>
  </rowFields>
  <dataFields>
    <dataField name="AVERAGE of age" fld="1" subtotal="average" baseField="0"/>
  </dataFields>
</pivotTableDefinition>
</file>

<file path=xl/pivotTables/pivotTable4.xml><?xml version="1.0" encoding="utf-8"?>
<pivotTableDefinition xmlns="http://schemas.openxmlformats.org/spreadsheetml/2006/main" name="trt_grp_vs_response_label_pivot" cacheId="0" dataCaption="" compact="0" compactData="0">
  <location ref="A1:D5" firstHeaderRow="0" firstDataRow="1" firstDataCol="1"/>
  <pivotFields>
    <pivotField name="subjec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rt_grp" axis="axisRow" compact="0" outline="0" multipleItemSelectionAllowed="1" showAll="0" sortType="ascending">
      <items>
        <item x="2"/>
        <item x="1"/>
        <item x="0"/>
        <item t="default"/>
      </items>
    </pivotField>
    <pivotField name="RESPONSE" compact="0" outline="0" multipleItemSelectionAllowed="1" showAll="0">
      <items>
        <item x="0"/>
        <item x="1"/>
        <item x="2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protein_concen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sponse_label" axis="axisCol" compact="0" outline="0" multipleItemSelectionAllowed="1" showAll="0" sortType="ascending">
      <items>
        <item h="1" x="2"/>
        <item x="0"/>
        <item x="1"/>
        <item t="default"/>
      </items>
    </pivotField>
  </pivotFields>
  <rowFields>
    <field x="5"/>
  </rowFields>
  <colFields>
    <field x="9"/>
  </colFields>
  <dataFields>
    <dataField name="COUNTA of subject_id" fld="0" subtotal="count" baseField="0"/>
  </dataFields>
</pivotTableDefinition>
</file>

<file path=xl/tables/table1.xml><?xml version="1.0" encoding="utf-8"?>
<table xmlns="http://schemas.openxmlformats.org/spreadsheetml/2006/main" ref="A1:J773" displayName="Table1" name="Table1" id="1">
  <autoFilter ref="$A$1:$J$773">
    <filterColumn colId="1">
      <customFilters>
        <customFilter operator="greaterThanOrEqual" val="18"/>
      </customFilters>
    </filterColumn>
    <filterColumn colId="3">
      <filters blank="1">
        <filter val="130.78"/>
        <filter val="75.06"/>
        <filter val="107.51"/>
        <filter val="97.38"/>
        <filter val="129.83"/>
        <filter val="97.35"/>
        <filter val="75.01"/>
        <filter val="73.65"/>
        <filter val="96.61"/>
        <filter val="165.66"/>
        <filter val="68.7"/>
        <filter val="96.64"/>
        <filter val="73.61"/>
        <filter val="72.93"/>
        <filter val="95.92"/>
        <filter val="118.77"/>
        <filter val="85.57"/>
        <filter val="84.89"/>
        <filter val="63.33"/>
        <filter val="107.69"/>
        <filter val="85.41"/>
        <filter val="61.92"/>
        <filter val="84.73"/>
        <filter val="64.07"/>
        <filter val="108.34"/>
        <filter val="97.23"/>
        <filter val="95.87"/>
        <filter val="95.88"/>
        <filter val="96.57"/>
        <filter val="73.74"/>
        <filter val="56.7"/>
        <filter val="96.53"/>
        <filter val="102.9"/>
        <filter val="86.15"/>
        <filter val="130.97"/>
        <filter val="84.75"/>
        <filter val="131.63"/>
        <filter val="86.12"/>
        <filter val="64.11"/>
        <filter val="179.02"/>
        <filter val="108.02"/>
        <filter val="96.87"/>
        <filter val="107.34"/>
        <filter val="75.25"/>
        <filter val="74.56"/>
        <filter val="73.89"/>
        <filter val="107.32"/>
        <filter val="75.21"/>
        <filter val="74.52"/>
        <filter val="51.67"/>
        <filter val="98.22"/>
        <filter val="96.85"/>
        <filter val="144.15"/>
        <filter val="73.83"/>
        <filter val="51.66"/>
        <filter val="76.08"/>
        <filter val="86.48"/>
        <filter val="53.08"/>
        <filter val="85.62"/>
        <filter val="107.48"/>
        <filter val="115.9"/>
        <filter val="75.37"/>
        <filter val="107.45"/>
        <filter val="98.11"/>
        <filter val="53.12"/>
        <filter val="73.91"/>
        <filter val="103.6"/>
        <filter val="85.69"/>
        <filter val="64.21"/>
        <filter val="63.53"/>
        <filter val="62.97"/>
        <filter val="86.65"/>
        <filter val="64.36"/>
        <filter val="63.67"/>
        <filter val="65.03"/>
        <filter val="87.31"/>
        <filter val="64.35"/>
        <filter val="110.26"/>
        <filter val="108.65"/>
        <filter val="109.35"/>
        <filter val="97.77"/>
        <filter val="74.78"/>
        <filter val="75.46"/>
        <filter val="66.6"/>
        <filter val="98.41"/>
        <filter val="51.89"/>
        <filter val="116.5"/>
        <filter val="87.38"/>
        <filter val="62.94"/>
        <filter val="88.04"/>
        <filter val="85.98"/>
        <filter val="119.87"/>
        <filter val="86.66"/>
        <filter val="63.63"/>
        <filter val="87.21"/>
        <filter val="86.51"/>
        <filter val="65.18"/>
        <filter val="53.31"/>
        <filter val="99.05"/>
        <filter val="52.62"/>
        <filter val="75.55"/>
        <filter val="74.86"/>
        <filter val="75.51"/>
        <filter val="76.18"/>
        <filter val="87.27"/>
        <filter val="86.55"/>
        <filter val="130.51"/>
        <filter val="63.75"/>
        <filter val="88.23"/>
        <filter val="87.55"/>
        <filter val="131.25"/>
        <filter val="64.55"/>
        <filter val="86.84"/>
        <filter val="87.52"/>
        <filter val="87.51"/>
        <filter val="108.43"/>
        <filter val="109.12"/>
        <filter val="120.55"/>
        <filter val="142.42"/>
        <filter val="76.43"/>
        <filter val="75.67"/>
        <filter val="107.75"/>
        <filter val="76.45"/>
        <filter val="99.32"/>
        <filter val="99.31"/>
        <filter val="76.46"/>
        <filter val="75.63"/>
        <filter val="74.94"/>
        <filter val="65.9"/>
        <filter val="76.49"/>
        <filter val="98.62"/>
        <filter val="143.06"/>
        <filter val="97.94"/>
        <filter val="88.1"/>
        <filter val="130.61"/>
        <filter val="64.52"/>
        <filter val="63.84"/>
        <filter val="86.88"/>
        <filter val="88.2"/>
        <filter val="86.75"/>
        <filter val="87.44"/>
        <filter val="64.69"/>
        <filter val="65.39"/>
        <filter val="118.81"/>
        <filter val="132.07"/>
        <filter val="66.06"/>
        <filter val="76.31"/>
        <filter val="107.88"/>
        <filter val="109.21"/>
        <filter val="98.53"/>
        <filter val="121.06"/>
        <filter val="98.55"/>
        <filter val="76.36"/>
        <filter val="121.08"/>
        <filter val="97.87"/>
        <filter val="77.06"/>
        <filter val="97.83"/>
        <filter val="63.91"/>
        <filter val="64.62"/>
        <filter val="87.48"/>
        <filter val="131.41"/>
        <filter val="112.09"/>
        <filter val="109.78"/>
        <filter val="71.42"/>
        <filter val="83.38"/>
        <filter val="61.06"/>
        <filter val="82.66"/>
        <filter val="69.88"/>
        <filter val="100.14"/>
        <filter val="84.02"/>
        <filter val="110.75"/>
        <filter val="111.43"/>
        <filter val="112.12"/>
        <filter val="69.86"/>
        <filter val="69.85"/>
        <filter val="81.94"/>
        <filter val="64.4"/>
        <filter val="94.38"/>
        <filter val="111.28"/>
        <filter val="100.35"/>
        <filter val="109.88"/>
        <filter val="71.56"/>
        <filter val="72.24"/>
        <filter val="94.37"/>
        <filter val="59.54"/>
        <filter val="109.84"/>
        <filter val="59.53"/>
        <filter val="146.35"/>
        <filter val="59.56"/>
        <filter val="70.82"/>
        <filter val="61.19"/>
        <filter val="60.49"/>
        <filter val="82.55"/>
        <filter val="81.87"/>
        <filter val="52.2"/>
        <filter val="121.1"/>
        <filter val="110.65"/>
        <filter val="82.58"/>
        <filter val="111.33"/>
        <filter val="81.84"/>
        <filter val="81.85"/>
        <filter val="81.86"/>
        <filter val="98.4"/>
        <filter val="135.27"/>
        <filter val="73.09"/>
        <filter val="72.38"/>
        <filter val="73.06"/>
        <filter val="109.52"/>
        <filter val="108.85"/>
        <filter val="70.92"/>
        <filter val="84.25"/>
        <filter val="83.59"/>
        <filter val="61.23"/>
        <filter val="61.22"/>
        <filter val="82.85"/>
        <filter val="82.86"/>
        <filter val="84.22"/>
        <filter val="111.06"/>
        <filter val="73.17"/>
        <filter val="94.55"/>
        <filter val="94.54"/>
        <filter val="73.16"/>
        <filter val="95.25"/>
        <filter val="93.84"/>
        <filter val="59.76"/>
        <filter val="94.58"/>
        <filter val="71.72"/>
        <filter val="94.51"/>
        <filter val="83.46"/>
        <filter val="60.69"/>
        <filter val="111.12"/>
        <filter val="110.45"/>
        <filter val="84.16"/>
        <filter val="97.1"/>
        <filter val="50.29"/>
        <filter val="51.6"/>
        <filter val="100.08"/>
        <filter val="74.8"/>
        <filter val="133.29"/>
        <filter val="59.83"/>
        <filter val="132.59"/>
        <filter val="132.58"/>
        <filter val="100.65"/>
        <filter val="100.67"/>
        <filter val="102.04"/>
        <filter val="73.29"/>
        <filter val="112.48"/>
        <filter val="125.02"/>
        <filter val="73.24"/>
        <filter val="95.59"/>
        <filter val="123.69"/>
        <filter val="72.57"/>
        <filter val="124.32"/>
        <filter val="96.22"/>
        <filter val="72.55"/>
        <filter val="73.23"/>
        <filter val="71.85"/>
        <filter val="112.5"/>
        <filter val="71.83"/>
        <filter val="112.9"/>
        <filter val="123.59"/>
        <filter val="94.83"/>
        <filter val="23.176"/>
        <filter val="94.82"/>
        <filter val="62.2"/>
        <filter val="62.4"/>
        <filter val="112.55"/>
        <filter val="85.8"/>
        <filter val="62.6"/>
        <filter val="131.97"/>
        <filter val="84.44"/>
        <filter val="112.2"/>
        <filter val="62.21"/>
        <filter val="101.42"/>
        <filter val="122.82"/>
        <filter val="82.93"/>
        <filter val="59.95"/>
        <filter val="101.43"/>
        <filter val="96.18"/>
        <filter val="113.07"/>
        <filter val="59.92"/>
        <filter val="113.05"/>
        <filter val="122.87"/>
        <filter val="94.76"/>
        <filter val="71.99"/>
        <filter val="96.12"/>
        <filter val="100.6"/>
        <filter val="123.9"/>
        <filter val="94.72"/>
        <filter val="124.17"/>
        <filter val="73.5"/>
        <filter val="84.37"/>
        <filter val="100.2"/>
        <filter val="82.95"/>
        <filter val="100.1"/>
        <filter val="112.42"/>
        <filter val="100.4"/>
        <filter val="61.61"/>
        <filter val="112.26"/>
        <filter val="111.59"/>
        <filter val="62.38"/>
        <filter val="96.43"/>
        <filter val="73.44"/>
        <filter val="73.45"/>
        <filter val="74.12"/>
        <filter val="122.75"/>
        <filter val="95.72"/>
        <filter val="72.73"/>
        <filter val="134.22"/>
        <filter val="110.99"/>
        <filter val="101.05"/>
        <filter val="84.68"/>
        <filter val="84.2"/>
        <filter val="85.39"/>
        <filter val="85.33"/>
        <filter val="86.02"/>
        <filter val="112.32"/>
        <filter val="101.09"/>
        <filter val="61.65"/>
        <filter val="84.9"/>
        <filter val="60.97"/>
        <filter val="83.99"/>
        <filter val="84.6"/>
        <filter val="84.66"/>
        <filter val="110.94"/>
        <filter val="61.9"/>
        <filter val="84.7"/>
        <filter val="83.84"/>
        <filter val="83.1"/>
        <filter val="112.18"/>
        <filter val="111.49"/>
        <filter val="63.17"/>
        <filter val="63.19"/>
        <filter val="97.06"/>
        <filter val="96.39"/>
        <filter val="121.94"/>
        <filter val="73.56"/>
        <filter val="72.85"/>
        <filter val="101.6"/>
        <filter val="101.9"/>
        <filter val="124.9"/>
        <filter val="104"/>
        <filter val="85.25"/>
        <filter val="108"/>
        <filter val="72.6"/>
        <filter val="72.5"/>
        <filter val="85.27"/>
        <filter val="84.59"/>
        <filter val="83.86"/>
        <filter val="101.19"/>
        <filter val="95.8"/>
        <filter val="124.2"/>
        <filter val="83.85"/>
        <filter val="84.53"/>
        <filter val="85.23"/>
        <filter val="102.42"/>
        <filter val="125.41"/>
        <filter val="101.76"/>
        <filter val="89.97"/>
        <filter val="71.1"/>
        <filter val="103.16"/>
        <filter val="103.15"/>
        <filter val="91.51"/>
        <filter val="56.55"/>
        <filter val="89.91"/>
        <filter val="91.55"/>
        <filter val="101.71"/>
        <filter val="125.43"/>
        <filter val="91.54"/>
        <filter val="80.46"/>
        <filter val="114"/>
        <filter val="22.31"/>
        <filter val="66.92"/>
        <filter val="115.05"/>
        <filter val="103.06"/>
        <filter val="83.6"/>
        <filter val="136.68"/>
        <filter val="68.31"/>
        <filter val="102.38"/>
        <filter val="81.11"/>
        <filter val="68.36"/>
        <filter val="68.34"/>
        <filter val="90.78"/>
        <filter val="102.52"/>
        <filter val="92.14"/>
        <filter val="70.09"/>
        <filter val="78.71"/>
        <filter val="89.84"/>
        <filter val="113.49"/>
        <filter val="78.76"/>
        <filter val="126.01"/>
        <filter val="79.44"/>
        <filter val="90.77"/>
        <filter val="91.42"/>
        <filter val="91.43"/>
        <filter val="78.78"/>
        <filter val="113.51"/>
        <filter val="80.38"/>
        <filter val="112.82"/>
        <filter val="137.41"/>
        <filter val="81.03"/>
        <filter val="158.85"/>
        <filter val="81.04"/>
        <filter val="112.86"/>
        <filter val="102.21"/>
        <filter val="70.2"/>
        <filter val="93.14"/>
        <filter val="79.78"/>
        <filter val="100.81"/>
        <filter val="91.76"/>
        <filter val="112.72"/>
        <filter val="114.11"/>
        <filter val="67.82"/>
        <filter val="82.06"/>
        <filter val="68.54"/>
        <filter val="81.32"/>
        <filter val="112.79"/>
        <filter val="80.62"/>
        <filter val="102.19"/>
        <filter val="82.02"/>
        <filter val="113.45"/>
        <filter val="112.77"/>
        <filter val="68.51"/>
        <filter val="68.58"/>
        <filter val="68.56"/>
        <filter val="112.73"/>
        <filter val="101.64"/>
        <filter val="103.01"/>
        <filter val="102.33"/>
        <filter val="91.69"/>
        <filter val="81.3"/>
        <filter val="70.25"/>
        <filter val="78.93"/>
        <filter val="101.68"/>
        <filter val="78.92"/>
        <filter val="101.69"/>
        <filter val="78.95"/>
        <filter val="79.62"/>
        <filter val="91.63"/>
        <filter val="90.95"/>
        <filter val="91.61"/>
        <filter val="79.64"/>
        <filter val="91.66"/>
        <filter val="90.99"/>
        <filter val="79.69"/>
        <filter val="80.59"/>
        <filter val="111.91"/>
        <filter val="69.32"/>
        <filter val="93.5"/>
        <filter val="68.69"/>
        <filter val="138.36"/>
        <filter val="112.63"/>
        <filter val="80.53"/>
        <filter val="67.99"/>
        <filter val="93.37"/>
        <filter val="71.04"/>
        <filter val="71.02"/>
        <filter val="59.03"/>
        <filter val="79.96"/>
        <filter val="79.97"/>
        <filter val="93.36"/>
        <filter val="57.62"/>
        <filter val="79.99"/>
        <filter val="102.84"/>
        <filter val="91.97"/>
        <filter val="103.51"/>
        <filter val="102.83"/>
        <filter val="91.92"/>
        <filter val="82.24"/>
        <filter val="81.6"/>
        <filter val="53"/>
        <filter val="114.74"/>
        <filter val="104.34"/>
        <filter val="93.28"/>
        <filter val="102.99"/>
        <filter val="80.4"/>
        <filter val="105.05"/>
        <filter val="79.82"/>
        <filter val="71.16"/>
        <filter val="59.14"/>
        <filter val="70.43"/>
        <filter val="126.49"/>
        <filter val="146.76"/>
        <filter val="102.92"/>
        <filter val="91.89"/>
        <filter val="93.23"/>
        <filter val="102.94"/>
        <filter val="70.41"/>
        <filter val="113.91"/>
        <filter val="114.68"/>
        <filter val="59.17"/>
        <filter val="82.18"/>
        <filter val="60.04"/>
        <filter val="81.43"/>
        <filter val="60"/>
        <filter val="80.78"/>
        <filter val="124.94"/>
        <filter val="67"/>
        <filter val="102.63"/>
        <filter val="102.66"/>
        <filter val="103.35"/>
        <filter val="91.5"/>
        <filter val="91.2"/>
        <filter val="93.53"/>
        <filter val="147.54"/>
        <filter val="92.83"/>
        <filter val="71.21"/>
        <filter val="59.29"/>
        <filter val="60.17"/>
        <filter val="83.16"/>
        <filter val="83.19"/>
        <filter val="81.77"/>
        <filter val="68.96"/>
        <filter val="81.78"/>
        <filter val="81.74"/>
        <filter val="135.76"/>
        <filter val="82.42"/>
        <filter val="104.13"/>
        <filter val="94.18"/>
        <filter val="103.45"/>
        <filter val="124.81"/>
        <filter val="94.16"/>
        <filter val="93.48"/>
        <filter val="137.18"/>
        <filter val="104.14"/>
        <filter val="71.38"/>
        <filter val="72.06"/>
        <filter val="160.12"/>
        <filter val="92.75"/>
        <filter val="93.42"/>
        <filter val="72.01"/>
        <filter val="58.69"/>
        <filter val="59.31"/>
        <filter val="125.56"/>
        <filter val="58.63"/>
        <filter val="126.22"/>
        <filter val="70.64"/>
        <filter val="94.12"/>
        <filter val="113.73"/>
        <filter val="114.42"/>
        <filter val="136.52"/>
        <filter val="83.06"/>
        <filter val="82.38"/>
        <filter val="82.39"/>
        <filter val="115.17"/>
        <filter val="135.89"/>
        <filter val="83.02"/>
        <filter val="80.94"/>
        <filter val="69.74"/>
        <filter val="135.86"/>
        <filter val="80.99"/>
        <filter val="81.64"/>
        <filter val="104.68"/>
        <filter val="128.35"/>
        <filter val="127.64"/>
        <filter val="104.65"/>
        <filter val="65.48"/>
        <filter val="104.66"/>
        <filter val="106.07"/>
        <filter val="105.31"/>
        <filter val="127.68"/>
        <filter val="128.31"/>
        <filter val="54.32"/>
        <filter val="103.93"/>
        <filter val="77.33"/>
        <filter val="75.89"/>
        <filter val="76.67"/>
        <filter val="99.54"/>
        <filter val="115.88"/>
        <filter val="116.55"/>
        <filter val="141.03"/>
        <filter val="117.25"/>
        <filter val="117.28"/>
        <filter val="89.19"/>
        <filter val="116.52"/>
        <filter val="89.16"/>
        <filter val="97"/>
        <filter val="88.47"/>
        <filter val="89.14"/>
        <filter val="88.34"/>
        <filter val="86.98"/>
        <filter val="104.77"/>
        <filter val="127.58"/>
        <filter val="77.22"/>
        <filter val="77.23"/>
        <filter val="75.98"/>
        <filter val="75.97"/>
        <filter val="117.14"/>
        <filter val="75.94"/>
        <filter val="117.17"/>
        <filter val="116.48"/>
        <filter val="75.91"/>
        <filter val="106.5"/>
        <filter val="48.14"/>
        <filter val="89.07"/>
        <filter val="64.84"/>
        <filter val="89.05"/>
        <filter val="116.43"/>
        <filter val="182.5"/>
        <filter val="66.21"/>
        <filter val="88.67"/>
        <filter val="103.75"/>
        <filter val="88.64"/>
        <filter val="88.61"/>
        <filter val="108.8"/>
        <filter val="76.84"/>
        <filter val="54.54"/>
        <filter val="103.71"/>
        <filter val="103.74"/>
        <filter val="78.24"/>
        <filter val="140.64"/>
        <filter val="99.76"/>
        <filter val="48.3"/>
        <filter val="99.75"/>
        <filter val="78.28"/>
        <filter val="77.59"/>
        <filter val="140.59"/>
        <filter val="48.9"/>
        <filter val="99.73"/>
        <filter val="64.92"/>
        <filter val="47.31"/>
        <filter val="67.16"/>
        <filter val="87.88"/>
        <filter val="89.22"/>
        <filter val="90.17"/>
        <filter val="125.92"/>
        <filter val="104.58"/>
        <filter val="54.62"/>
        <filter val="99.69"/>
        <filter val="55.33"/>
        <filter val="127.34"/>
        <filter val="78.13"/>
        <filter val="126.66"/>
        <filter val="141.42"/>
        <filter val="99.64"/>
        <filter val="98.98"/>
        <filter val="116.27"/>
        <filter val="99.63"/>
        <filter val="46.58"/>
        <filter val="66.41"/>
        <filter val="89.27"/>
        <filter val="66.45"/>
        <filter val="87.89"/>
        <filter val="128.78"/>
        <filter val="107.16"/>
        <filter val="67.27"/>
        <filter val="106.48"/>
        <filter val="89.57"/>
        <filter val="88.88"/>
        <filter val="107.15"/>
        <filter val="89.56"/>
        <filter val="90.45"/>
        <filter val="88.87"/>
        <filter val="105.77"/>
        <filter val="148.86"/>
        <filter val="88.85"/>
        <filter val="91.18"/>
        <filter val="77.75"/>
        <filter val="78.44"/>
        <filter val="91.12"/>
        <filter val="78.43"/>
        <filter val="78.46"/>
        <filter val="78.45"/>
        <filter val="137.73"/>
        <filter val="80.04"/>
        <filter val="55.48"/>
        <filter val="138.41"/>
        <filter val="99.93"/>
        <filter val="79.19"/>
        <filter val="150.35"/>
        <filter val="118.33"/>
        <filter val="127.96"/>
        <filter val="68.04"/>
        <filter val="88.74"/>
        <filter val="90.38"/>
        <filter val="89.41"/>
        <filter val="91.06"/>
        <filter val="76.91"/>
        <filter val="78.32"/>
        <filter val="76.97"/>
        <filter val="90.33"/>
        <filter val="77.67"/>
        <filter val="118.26"/>
        <filter val="79.07"/>
        <filter val="24.22"/>
        <filter val="137.81"/>
        <filter val="108.3"/>
        <filter val="138.57"/>
        <filter val="68.01"/>
        <filter val="92.05"/>
        <filter val="91.35"/>
        <filter val="78.61"/>
        <filter val="104.82"/>
        <filter val="79.32"/>
        <filter val="90.61"/>
        <filter val="90.64"/>
        <filter val="79.34"/>
        <filter val="92.01"/>
        <filter val="79.33"/>
        <filter val="104.86"/>
        <filter val="78.65"/>
        <filter val="139.32"/>
        <filter val="69.4"/>
        <filter val="78.69"/>
        <filter val="80.25"/>
        <filter val="55.68"/>
        <filter val="118.19"/>
        <filter val="57.06"/>
        <filter val="80.29"/>
        <filter val="151.28"/>
        <filter val="80.22"/>
        <filter val="80.21"/>
        <filter val="88.99"/>
        <filter val="127.75"/>
        <filter val="106.35"/>
        <filter val="88.98"/>
        <filter val="89.64"/>
        <filter val="46.17"/>
        <filter val="91.28"/>
        <filter val="77.81"/>
        <filter val="57.12"/>
        <filter val="77.85"/>
        <filter val="106.33"/>
        <filter val="79.23"/>
        <filter val="77.87"/>
        <filter val="56.41"/>
        <filter val="77.89"/>
        <filter val="91.21"/>
        <filter val="80.19"/>
        <filter val="118.09"/>
        <filter val="115.97"/>
      </filters>
    </filterColumn>
  </autoFilter>
  <tableColumns count="10">
    <tableColumn name="subject_id" id="1"/>
    <tableColumn name="age" id="2"/>
    <tableColumn name="sex" id="3"/>
    <tableColumn name="weight" id="4"/>
    <tableColumn name="height" id="5"/>
    <tableColumn name="trt_grp" id="6"/>
    <tableColumn name="RESPONSE" id="7"/>
    <tableColumn name="BMI" id="8"/>
    <tableColumn name="protein_concentration" id="9"/>
    <tableColumn name="response_label" id="10"/>
  </tableColumns>
  <tableStyleInfo name="clinical_study-style" showColumnStripes="0" showFirstColumn="1" showLastColumn="1" showRowStripes="1"/>
</table>
</file>

<file path=xl/tables/table2.xml><?xml version="1.0" encoding="utf-8"?>
<table xmlns="http://schemas.openxmlformats.org/spreadsheetml/2006/main" ref="A1:J243" displayName="Table_1" name="Table_1" id="2">
  <tableColumns count="10">
    <tableColumn name="subject_id" id="1"/>
    <tableColumn name="age" id="2"/>
    <tableColumn name="sex" id="3"/>
    <tableColumn name="weight" id="4"/>
    <tableColumn name="height" id="5"/>
    <tableColumn name="trt_grp" id="6"/>
    <tableColumn name="RESPONSE" id="7"/>
    <tableColumn name="BMI" id="8"/>
    <tableColumn name="protein_concentration" id="9"/>
    <tableColumn name="response_label" id="10"/>
  </tableColumns>
  <tableStyleInfo name="Detail1-style" showColumnStripes="0" showFirstColumn="1" showLastColumn="1" showRowStripes="1"/>
</table>
</file>

<file path=xl/tables/table3.xml><?xml version="1.0" encoding="utf-8"?>
<table xmlns="http://schemas.openxmlformats.org/spreadsheetml/2006/main" ref="A1:B769" displayName="Table2" name="Table2" id="3">
  <tableColumns count="2">
    <tableColumn name="participant_id" id="1"/>
    <tableColumn name="protein_concentration" id="2"/>
  </tableColumns>
  <tableStyleInfo name="protein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7" max="7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4">
        <v>46.0</v>
      </c>
      <c r="C2" s="3" t="s">
        <v>11</v>
      </c>
      <c r="D2" s="4">
        <v>84.66</v>
      </c>
      <c r="E2" s="4">
        <v>1.59</v>
      </c>
      <c r="F2" s="3" t="s">
        <v>12</v>
      </c>
      <c r="G2" s="3" t="s">
        <v>13</v>
      </c>
      <c r="H2" s="5">
        <f t="shared" ref="H2:H10" si="1">(D2)/(E2^2)</f>
        <v>33.48759938</v>
      </c>
      <c r="I2" s="5">
        <f t="array" ref="I2">XLOOKUP(A2,protein_data!A:A,protein_data!B:B,"")</f>
        <v>148</v>
      </c>
      <c r="J2" s="5" t="str">
        <f t="shared" ref="J2:J10" si="2">if(G2="y","Responder","Non-Responder")</f>
        <v>Non-Responder</v>
      </c>
    </row>
    <row r="3" ht="22.5" customHeight="1">
      <c r="A3" s="3" t="s">
        <v>14</v>
      </c>
      <c r="B3" s="4">
        <v>47.0</v>
      </c>
      <c r="C3" s="3" t="s">
        <v>11</v>
      </c>
      <c r="D3" s="4">
        <v>71.21</v>
      </c>
      <c r="E3" s="4">
        <v>1.64</v>
      </c>
      <c r="F3" s="3" t="s">
        <v>12</v>
      </c>
      <c r="G3" s="3" t="s">
        <v>15</v>
      </c>
      <c r="H3" s="5">
        <f t="shared" si="1"/>
        <v>26.47605592</v>
      </c>
      <c r="I3" s="5">
        <f t="array" ref="I3">XLOOKUP(A3,protein_data!A:A,protein_data!B:B,"")</f>
        <v>85</v>
      </c>
      <c r="J3" s="5" t="str">
        <f t="shared" si="2"/>
        <v>Responder</v>
      </c>
    </row>
    <row r="4" ht="22.5" customHeight="1">
      <c r="A4" s="3" t="s">
        <v>16</v>
      </c>
      <c r="B4" s="4">
        <v>48.0</v>
      </c>
      <c r="C4" s="3" t="s">
        <v>11</v>
      </c>
      <c r="D4" s="4">
        <v>69.85</v>
      </c>
      <c r="E4" s="4">
        <v>1.73</v>
      </c>
      <c r="F4" s="3" t="s">
        <v>17</v>
      </c>
      <c r="G4" s="3" t="s">
        <v>13</v>
      </c>
      <c r="H4" s="5">
        <f t="shared" si="1"/>
        <v>23.33856794</v>
      </c>
      <c r="I4" s="5">
        <f t="array" ref="I4">XLOOKUP(A4,protein_data!A:A,protein_data!B:B,"")</f>
        <v>183</v>
      </c>
      <c r="J4" s="5" t="str">
        <f t="shared" si="2"/>
        <v>Non-Responder</v>
      </c>
    </row>
    <row r="5" ht="22.5" customHeight="1">
      <c r="A5" s="3" t="s">
        <v>18</v>
      </c>
      <c r="B5" s="4">
        <v>59.0</v>
      </c>
      <c r="C5" s="3" t="s">
        <v>11</v>
      </c>
      <c r="D5" s="4">
        <v>62.94</v>
      </c>
      <c r="E5" s="4">
        <v>1.5</v>
      </c>
      <c r="F5" s="3" t="s">
        <v>12</v>
      </c>
      <c r="G5" s="3" t="s">
        <v>15</v>
      </c>
      <c r="H5" s="5">
        <f t="shared" si="1"/>
        <v>27.97333333</v>
      </c>
      <c r="I5" s="5">
        <f t="array" ref="I5">XLOOKUP(A5,protein_data!A:A,protein_data!B:B,"")</f>
        <v>89</v>
      </c>
      <c r="J5" s="5" t="str">
        <f t="shared" si="2"/>
        <v>Responder</v>
      </c>
    </row>
    <row r="6" ht="22.5" customHeight="1">
      <c r="A6" s="3" t="s">
        <v>19</v>
      </c>
      <c r="B6" s="4">
        <v>59.0</v>
      </c>
      <c r="C6" s="3" t="s">
        <v>11</v>
      </c>
      <c r="D6" s="4">
        <v>113.91</v>
      </c>
      <c r="E6" s="4">
        <v>1.63</v>
      </c>
      <c r="F6" s="3" t="s">
        <v>17</v>
      </c>
      <c r="G6" s="3" t="s">
        <v>13</v>
      </c>
      <c r="H6" s="5">
        <f t="shared" si="1"/>
        <v>42.87327336</v>
      </c>
      <c r="I6" s="5">
        <f t="array" ref="I6">XLOOKUP(A6,protein_data!A:A,protein_data!B:B,"")</f>
        <v>137</v>
      </c>
      <c r="J6" s="5" t="str">
        <f t="shared" si="2"/>
        <v>Non-Responder</v>
      </c>
    </row>
    <row r="7" ht="22.5" customHeight="1">
      <c r="A7" s="3" t="s">
        <v>20</v>
      </c>
      <c r="B7" s="4">
        <v>63.0</v>
      </c>
      <c r="C7" s="3" t="s">
        <v>21</v>
      </c>
      <c r="D7" s="4">
        <v>79.33</v>
      </c>
      <c r="E7" s="4">
        <v>1.77</v>
      </c>
      <c r="F7" s="3" t="s">
        <v>17</v>
      </c>
      <c r="G7" s="3" t="s">
        <v>15</v>
      </c>
      <c r="H7" s="5">
        <f t="shared" si="1"/>
        <v>25.32158703</v>
      </c>
      <c r="I7" s="5">
        <f t="array" ref="I7">XLOOKUP(A7,protein_data!A:A,protein_data!B:B,"")</f>
        <v>116</v>
      </c>
      <c r="J7" s="5" t="str">
        <f t="shared" si="2"/>
        <v>Responder</v>
      </c>
    </row>
    <row r="8" ht="22.5" customHeight="1">
      <c r="A8" s="3" t="s">
        <v>22</v>
      </c>
      <c r="B8" s="4">
        <v>77.0</v>
      </c>
      <c r="C8" s="3" t="s">
        <v>21</v>
      </c>
      <c r="D8" s="4">
        <v>96.12</v>
      </c>
      <c r="E8" s="4">
        <v>1.77</v>
      </c>
      <c r="F8" s="3" t="s">
        <v>17</v>
      </c>
      <c r="G8" s="3" t="s">
        <v>13</v>
      </c>
      <c r="H8" s="5">
        <f t="shared" si="1"/>
        <v>30.68083884</v>
      </c>
      <c r="I8" s="5">
        <f t="array" ref="I8">XLOOKUP(A8,protein_data!A:A,protein_data!B:B,"")</f>
        <v>78</v>
      </c>
      <c r="J8" s="5" t="str">
        <f t="shared" si="2"/>
        <v>Non-Responder</v>
      </c>
    </row>
    <row r="9" ht="22.5" customHeight="1">
      <c r="A9" s="3" t="s">
        <v>23</v>
      </c>
      <c r="B9" s="4">
        <v>57.0</v>
      </c>
      <c r="C9" s="3" t="s">
        <v>21</v>
      </c>
      <c r="D9" s="4">
        <v>93.5</v>
      </c>
      <c r="E9" s="4">
        <v>1.63</v>
      </c>
      <c r="F9" s="3" t="s">
        <v>12</v>
      </c>
      <c r="G9" s="3" t="s">
        <v>13</v>
      </c>
      <c r="H9" s="5">
        <f t="shared" si="1"/>
        <v>35.19138846</v>
      </c>
      <c r="I9" s="5">
        <f t="array" ref="I9">XLOOKUP(A9,protein_data!A:A,protein_data!B:B,"")</f>
        <v>115</v>
      </c>
      <c r="J9" s="5" t="str">
        <f t="shared" si="2"/>
        <v>Non-Responder</v>
      </c>
    </row>
    <row r="10" ht="22.5" customHeight="1">
      <c r="A10" s="3" t="s">
        <v>24</v>
      </c>
      <c r="B10" s="4">
        <v>72.0</v>
      </c>
      <c r="C10" s="3" t="s">
        <v>21</v>
      </c>
      <c r="D10" s="4">
        <v>85.57</v>
      </c>
      <c r="E10" s="4">
        <v>1.68</v>
      </c>
      <c r="F10" s="3" t="s">
        <v>12</v>
      </c>
      <c r="G10" s="3" t="s">
        <v>13</v>
      </c>
      <c r="H10" s="5">
        <f t="shared" si="1"/>
        <v>30.31816893</v>
      </c>
      <c r="I10" s="5">
        <f t="array" ref="I10">XLOOKUP(A10,protein_data!A:A,protein_data!B:B,"")</f>
        <v>197</v>
      </c>
      <c r="J10" s="5" t="str">
        <f t="shared" si="2"/>
        <v>Non-Responder</v>
      </c>
    </row>
    <row r="11" ht="22.5" hidden="1" customHeight="1">
      <c r="A11" s="3" t="s">
        <v>25</v>
      </c>
      <c r="B11" s="4">
        <v>73.0</v>
      </c>
      <c r="C11" s="3" t="s">
        <v>11</v>
      </c>
      <c r="D11" s="3" t="s">
        <v>26</v>
      </c>
      <c r="E11" s="4">
        <v>1.64</v>
      </c>
      <c r="F11" s="3" t="s">
        <v>12</v>
      </c>
      <c r="G11" s="3" t="s">
        <v>15</v>
      </c>
      <c r="H11" s="5"/>
      <c r="I11" s="5"/>
      <c r="J11" s="5"/>
    </row>
    <row r="12" ht="22.5" customHeight="1">
      <c r="A12" s="3" t="s">
        <v>27</v>
      </c>
      <c r="B12" s="4">
        <v>67.0</v>
      </c>
      <c r="C12" s="3" t="s">
        <v>21</v>
      </c>
      <c r="D12" s="4">
        <v>109.12</v>
      </c>
      <c r="E12" s="4">
        <v>1.71</v>
      </c>
      <c r="F12" s="3" t="s">
        <v>17</v>
      </c>
      <c r="G12" s="3" t="s">
        <v>15</v>
      </c>
      <c r="H12" s="5">
        <f t="shared" ref="H12:H50" si="3">(D12)/(E12^2)</f>
        <v>37.3174652</v>
      </c>
      <c r="I12" s="5">
        <f t="array" ref="I12">XLOOKUP(A12,protein_data!A:A,protein_data!B:B,"")</f>
        <v>110</v>
      </c>
      <c r="J12" s="5" t="str">
        <f t="shared" ref="J12:J50" si="4">if(G12="y","Responder","Non-Responder")</f>
        <v>Responder</v>
      </c>
    </row>
    <row r="13" ht="22.5" customHeight="1">
      <c r="A13" s="3" t="s">
        <v>28</v>
      </c>
      <c r="B13" s="4">
        <v>53.0</v>
      </c>
      <c r="C13" s="3" t="s">
        <v>21</v>
      </c>
      <c r="D13" s="4">
        <v>125.02</v>
      </c>
      <c r="E13" s="4">
        <v>1.82</v>
      </c>
      <c r="F13" s="3" t="s">
        <v>12</v>
      </c>
      <c r="G13" s="3" t="s">
        <v>13</v>
      </c>
      <c r="H13" s="5">
        <f t="shared" si="3"/>
        <v>37.7430262</v>
      </c>
      <c r="I13" s="5">
        <f t="array" ref="I13">XLOOKUP(A13,protein_data!A:A,protein_data!B:B,"")</f>
        <v>168</v>
      </c>
      <c r="J13" s="5" t="str">
        <f t="shared" si="4"/>
        <v>Non-Responder</v>
      </c>
    </row>
    <row r="14" ht="22.5" customHeight="1">
      <c r="A14" s="3" t="s">
        <v>29</v>
      </c>
      <c r="B14" s="4">
        <v>58.0</v>
      </c>
      <c r="C14" s="3" t="s">
        <v>11</v>
      </c>
      <c r="D14" s="4">
        <v>76.31</v>
      </c>
      <c r="E14" s="4">
        <v>1.68</v>
      </c>
      <c r="F14" s="3" t="s">
        <v>12</v>
      </c>
      <c r="G14" s="3" t="s">
        <v>13</v>
      </c>
      <c r="H14" s="5">
        <f t="shared" si="3"/>
        <v>27.03727324</v>
      </c>
      <c r="I14" s="5">
        <f t="array" ref="I14">XLOOKUP(A14,protein_data!A:A,protein_data!B:B,"")</f>
        <v>139</v>
      </c>
      <c r="J14" s="5" t="str">
        <f t="shared" si="4"/>
        <v>Non-Responder</v>
      </c>
    </row>
    <row r="15" ht="22.5" customHeight="1">
      <c r="A15" s="3" t="s">
        <v>30</v>
      </c>
      <c r="B15" s="4">
        <v>55.0</v>
      </c>
      <c r="C15" s="3" t="s">
        <v>21</v>
      </c>
      <c r="D15" s="4">
        <v>90.99</v>
      </c>
      <c r="E15" s="4">
        <v>1.75</v>
      </c>
      <c r="F15" s="3" t="s">
        <v>12</v>
      </c>
      <c r="G15" s="3" t="s">
        <v>13</v>
      </c>
      <c r="H15" s="5">
        <f t="shared" si="3"/>
        <v>29.71102041</v>
      </c>
      <c r="I15" s="5">
        <f t="array" ref="I15">XLOOKUP(A15,protein_data!A:A,protein_data!B:B,"")</f>
        <v>189</v>
      </c>
      <c r="J15" s="5" t="str">
        <f t="shared" si="4"/>
        <v>Non-Responder</v>
      </c>
    </row>
    <row r="16" ht="22.5" customHeight="1">
      <c r="A16" s="3" t="s">
        <v>31</v>
      </c>
      <c r="B16" s="4">
        <v>65.0</v>
      </c>
      <c r="C16" s="3" t="s">
        <v>21</v>
      </c>
      <c r="D16" s="4">
        <v>80.21</v>
      </c>
      <c r="E16" s="4">
        <v>1.77</v>
      </c>
      <c r="F16" s="3" t="s">
        <v>12</v>
      </c>
      <c r="G16" s="3" t="s">
        <v>13</v>
      </c>
      <c r="H16" s="5">
        <f t="shared" si="3"/>
        <v>25.60247694</v>
      </c>
      <c r="I16" s="5">
        <f t="array" ref="I16">XLOOKUP(A16,protein_data!A:A,protein_data!B:B,"")</f>
        <v>166</v>
      </c>
      <c r="J16" s="5" t="str">
        <f t="shared" si="4"/>
        <v>Non-Responder</v>
      </c>
    </row>
    <row r="17" ht="22.5" customHeight="1">
      <c r="A17" s="3" t="s">
        <v>32</v>
      </c>
      <c r="B17" s="4">
        <v>54.0</v>
      </c>
      <c r="C17" s="3" t="s">
        <v>21</v>
      </c>
      <c r="D17" s="4">
        <v>86.75</v>
      </c>
      <c r="E17" s="4">
        <v>1.71</v>
      </c>
      <c r="F17" s="3" t="s">
        <v>12</v>
      </c>
      <c r="G17" s="3" t="s">
        <v>15</v>
      </c>
      <c r="H17" s="5">
        <f t="shared" si="3"/>
        <v>29.66724804</v>
      </c>
      <c r="I17" s="5">
        <f t="array" ref="I17">XLOOKUP(A17,protein_data!A:A,protein_data!B:B,"")</f>
        <v>100</v>
      </c>
      <c r="J17" s="5" t="str">
        <f t="shared" si="4"/>
        <v>Responder</v>
      </c>
    </row>
    <row r="18" ht="22.5" customHeight="1">
      <c r="A18" s="3" t="s">
        <v>33</v>
      </c>
      <c r="B18" s="4">
        <v>57.0</v>
      </c>
      <c r="C18" s="3" t="s">
        <v>21</v>
      </c>
      <c r="D18" s="4">
        <v>144.15</v>
      </c>
      <c r="E18" s="4">
        <v>1.78</v>
      </c>
      <c r="F18" s="3" t="s">
        <v>17</v>
      </c>
      <c r="G18" s="3" t="s">
        <v>13</v>
      </c>
      <c r="H18" s="5">
        <f t="shared" si="3"/>
        <v>45.49614948</v>
      </c>
      <c r="I18" s="5">
        <f t="array" ref="I18">XLOOKUP(A18,protein_data!A:A,protein_data!B:B,"")</f>
        <v>118</v>
      </c>
      <c r="J18" s="5" t="str">
        <f t="shared" si="4"/>
        <v>Non-Responder</v>
      </c>
    </row>
    <row r="19" ht="22.5" customHeight="1">
      <c r="A19" s="3" t="s">
        <v>34</v>
      </c>
      <c r="B19" s="4">
        <v>65.0</v>
      </c>
      <c r="C19" s="3" t="s">
        <v>11</v>
      </c>
      <c r="D19" s="4">
        <v>80.04</v>
      </c>
      <c r="E19" s="4">
        <v>1.64</v>
      </c>
      <c r="F19" s="3" t="s">
        <v>17</v>
      </c>
      <c r="G19" s="3" t="s">
        <v>15</v>
      </c>
      <c r="H19" s="5">
        <f t="shared" si="3"/>
        <v>29.75907198</v>
      </c>
      <c r="I19" s="5">
        <f t="array" ref="I19">XLOOKUP(A19,protein_data!A:A,protein_data!B:B,"")</f>
        <v>107</v>
      </c>
      <c r="J19" s="5" t="str">
        <f t="shared" si="4"/>
        <v>Responder</v>
      </c>
    </row>
    <row r="20" ht="22.5" customHeight="1">
      <c r="A20" s="3" t="s">
        <v>35</v>
      </c>
      <c r="B20" s="4">
        <v>51.0</v>
      </c>
      <c r="C20" s="3" t="s">
        <v>21</v>
      </c>
      <c r="D20" s="4">
        <v>131.63</v>
      </c>
      <c r="E20" s="4">
        <v>1.75</v>
      </c>
      <c r="F20" s="3" t="s">
        <v>12</v>
      </c>
      <c r="G20" s="3" t="s">
        <v>15</v>
      </c>
      <c r="H20" s="5">
        <f t="shared" si="3"/>
        <v>42.98122449</v>
      </c>
      <c r="I20" s="5">
        <f t="array" ref="I20">XLOOKUP(A20,protein_data!A:A,protein_data!B:B,"")</f>
        <v>103</v>
      </c>
      <c r="J20" s="5" t="str">
        <f t="shared" si="4"/>
        <v>Responder</v>
      </c>
    </row>
    <row r="21" ht="22.5" customHeight="1">
      <c r="A21" s="3" t="s">
        <v>36</v>
      </c>
      <c r="B21" s="4">
        <v>73.0</v>
      </c>
      <c r="C21" s="3" t="s">
        <v>11</v>
      </c>
      <c r="D21" s="4">
        <v>94.38</v>
      </c>
      <c r="E21" s="4">
        <v>1.65</v>
      </c>
      <c r="F21" s="3" t="s">
        <v>12</v>
      </c>
      <c r="G21" s="3" t="s">
        <v>15</v>
      </c>
      <c r="H21" s="5">
        <f t="shared" si="3"/>
        <v>34.66666667</v>
      </c>
      <c r="I21" s="5">
        <f t="array" ref="I21">XLOOKUP(A21,protein_data!A:A,protein_data!B:B,"")</f>
        <v>115</v>
      </c>
      <c r="J21" s="5" t="str">
        <f t="shared" si="4"/>
        <v>Responder</v>
      </c>
    </row>
    <row r="22" ht="22.5" customHeight="1">
      <c r="A22" s="3" t="s">
        <v>37</v>
      </c>
      <c r="B22" s="4">
        <v>61.0</v>
      </c>
      <c r="C22" s="3" t="s">
        <v>21</v>
      </c>
      <c r="D22" s="4">
        <v>122.87</v>
      </c>
      <c r="E22" s="4">
        <v>1.78</v>
      </c>
      <c r="F22" s="3" t="s">
        <v>17</v>
      </c>
      <c r="G22" s="3" t="s">
        <v>13</v>
      </c>
      <c r="H22" s="5">
        <f t="shared" si="3"/>
        <v>38.77982578</v>
      </c>
      <c r="I22" s="5">
        <f t="array" ref="I22">XLOOKUP(A22,protein_data!A:A,protein_data!B:B,"")</f>
        <v>126</v>
      </c>
      <c r="J22" s="5" t="str">
        <f t="shared" si="4"/>
        <v>Non-Responder</v>
      </c>
    </row>
    <row r="23" ht="22.5" customHeight="1">
      <c r="A23" s="3" t="s">
        <v>38</v>
      </c>
      <c r="B23" s="4">
        <v>55.0</v>
      </c>
      <c r="C23" s="3" t="s">
        <v>11</v>
      </c>
      <c r="D23" s="4">
        <v>85.69</v>
      </c>
      <c r="E23" s="4">
        <v>1.56</v>
      </c>
      <c r="F23" s="3" t="s">
        <v>12</v>
      </c>
      <c r="G23" s="3" t="s">
        <v>13</v>
      </c>
      <c r="H23" s="5">
        <f t="shared" si="3"/>
        <v>35.21120973</v>
      </c>
      <c r="I23" s="5">
        <f t="array" ref="I23">XLOOKUP(A23,protein_data!A:A,protein_data!B:B,"")</f>
        <v>99</v>
      </c>
      <c r="J23" s="5" t="str">
        <f t="shared" si="4"/>
        <v>Non-Responder</v>
      </c>
    </row>
    <row r="24" ht="22.5" customHeight="1">
      <c r="A24" s="3" t="s">
        <v>39</v>
      </c>
      <c r="B24" s="4">
        <v>55.0</v>
      </c>
      <c r="C24" s="3" t="s">
        <v>21</v>
      </c>
      <c r="D24" s="4">
        <v>115.97</v>
      </c>
      <c r="E24" s="4">
        <v>1.71</v>
      </c>
      <c r="F24" s="3" t="s">
        <v>12</v>
      </c>
      <c r="G24" s="3" t="s">
        <v>13</v>
      </c>
      <c r="H24" s="5">
        <f t="shared" si="3"/>
        <v>39.66006635</v>
      </c>
      <c r="I24" s="5">
        <f t="array" ref="I24">XLOOKUP(A24,protein_data!A:A,protein_data!B:B,"")</f>
        <v>196</v>
      </c>
      <c r="J24" s="5" t="str">
        <f t="shared" si="4"/>
        <v>Non-Responder</v>
      </c>
    </row>
    <row r="25" ht="22.5" customHeight="1">
      <c r="A25" s="3" t="s">
        <v>40</v>
      </c>
      <c r="B25" s="4">
        <v>56.0</v>
      </c>
      <c r="C25" s="3" t="s">
        <v>11</v>
      </c>
      <c r="D25" s="4">
        <v>68.36</v>
      </c>
      <c r="E25" s="4">
        <v>1.54</v>
      </c>
      <c r="F25" s="3" t="s">
        <v>17</v>
      </c>
      <c r="G25" s="3" t="s">
        <v>15</v>
      </c>
      <c r="H25" s="5">
        <f t="shared" si="3"/>
        <v>28.82442233</v>
      </c>
      <c r="I25" s="5">
        <f t="array" ref="I25">XLOOKUP(A25,protein_data!A:A,protein_data!B:B,"")</f>
        <v>119</v>
      </c>
      <c r="J25" s="5" t="str">
        <f t="shared" si="4"/>
        <v>Responder</v>
      </c>
    </row>
    <row r="26" ht="22.5" customHeight="1">
      <c r="A26" s="3" t="s">
        <v>41</v>
      </c>
      <c r="B26" s="4">
        <v>56.0</v>
      </c>
      <c r="C26" s="3" t="s">
        <v>11</v>
      </c>
      <c r="D26" s="4">
        <v>99.69</v>
      </c>
      <c r="E26" s="4">
        <v>1.65</v>
      </c>
      <c r="F26" s="3" t="s">
        <v>12</v>
      </c>
      <c r="G26" s="3" t="s">
        <v>15</v>
      </c>
      <c r="H26" s="5">
        <f t="shared" si="3"/>
        <v>36.61707989</v>
      </c>
      <c r="I26" s="5">
        <f t="array" ref="I26">XLOOKUP(A26,protein_data!A:A,protein_data!B:B,"")</f>
        <v>143</v>
      </c>
      <c r="J26" s="5" t="str">
        <f t="shared" si="4"/>
        <v>Responder</v>
      </c>
    </row>
    <row r="27" ht="22.5" customHeight="1">
      <c r="A27" s="3" t="s">
        <v>42</v>
      </c>
      <c r="B27" s="4">
        <v>59.0</v>
      </c>
      <c r="C27" s="3" t="s">
        <v>11</v>
      </c>
      <c r="D27" s="4">
        <v>74.94</v>
      </c>
      <c r="E27" s="4">
        <v>1.55</v>
      </c>
      <c r="F27" s="3" t="s">
        <v>12</v>
      </c>
      <c r="G27" s="3" t="s">
        <v>13</v>
      </c>
      <c r="H27" s="5">
        <f t="shared" si="3"/>
        <v>31.1925078</v>
      </c>
      <c r="I27" s="5">
        <f t="array" ref="I27">XLOOKUP(A27,protein_data!A:A,protein_data!B:B,"")</f>
        <v>125</v>
      </c>
      <c r="J27" s="5" t="str">
        <f t="shared" si="4"/>
        <v>Non-Responder</v>
      </c>
    </row>
    <row r="28" ht="22.5" customHeight="1">
      <c r="A28" s="3" t="s">
        <v>43</v>
      </c>
      <c r="B28" s="4">
        <v>59.0</v>
      </c>
      <c r="C28" s="3" t="s">
        <v>11</v>
      </c>
      <c r="D28" s="4">
        <v>96.43</v>
      </c>
      <c r="E28" s="4">
        <v>1.56</v>
      </c>
      <c r="F28" s="3" t="s">
        <v>12</v>
      </c>
      <c r="G28" s="3" t="s">
        <v>13</v>
      </c>
      <c r="H28" s="5">
        <f t="shared" si="3"/>
        <v>39.62442472</v>
      </c>
      <c r="I28" s="5">
        <f t="array" ref="I28">XLOOKUP(A28,protein_data!A:A,protein_data!B:B,"")</f>
        <v>147</v>
      </c>
      <c r="J28" s="5" t="str">
        <f t="shared" si="4"/>
        <v>Non-Responder</v>
      </c>
    </row>
    <row r="29" ht="22.5" customHeight="1">
      <c r="A29" s="3" t="s">
        <v>44</v>
      </c>
      <c r="B29" s="4">
        <v>57.0</v>
      </c>
      <c r="C29" s="3" t="s">
        <v>21</v>
      </c>
      <c r="D29" s="4">
        <v>64.36</v>
      </c>
      <c r="E29" s="4">
        <v>1.67</v>
      </c>
      <c r="F29" s="3" t="s">
        <v>17</v>
      </c>
      <c r="G29" s="3" t="s">
        <v>13</v>
      </c>
      <c r="H29" s="5">
        <f t="shared" si="3"/>
        <v>23.0771989</v>
      </c>
      <c r="I29" s="5">
        <f t="array" ref="I29">XLOOKUP(A29,protein_data!A:A,protein_data!B:B,"")</f>
        <v>97</v>
      </c>
      <c r="J29" s="5" t="str">
        <f t="shared" si="4"/>
        <v>Non-Responder</v>
      </c>
    </row>
    <row r="30" ht="22.5" customHeight="1">
      <c r="A30" s="3" t="s">
        <v>45</v>
      </c>
      <c r="B30" s="4">
        <v>55.0</v>
      </c>
      <c r="C30" s="3" t="s">
        <v>11</v>
      </c>
      <c r="D30" s="4">
        <v>55.48</v>
      </c>
      <c r="E30" s="4">
        <v>1.58</v>
      </c>
      <c r="F30" s="3" t="s">
        <v>12</v>
      </c>
      <c r="G30" s="3" t="s">
        <v>13</v>
      </c>
      <c r="H30" s="5">
        <f t="shared" si="3"/>
        <v>22.22400256</v>
      </c>
      <c r="I30" s="5">
        <f t="array" ref="I30">XLOOKUP(A30,protein_data!A:A,protein_data!B:B,"")</f>
        <v>145</v>
      </c>
      <c r="J30" s="5" t="str">
        <f t="shared" si="4"/>
        <v>Non-Responder</v>
      </c>
    </row>
    <row r="31" ht="22.5" customHeight="1">
      <c r="A31" s="3" t="s">
        <v>46</v>
      </c>
      <c r="B31" s="4">
        <v>64.0</v>
      </c>
      <c r="C31" s="3" t="s">
        <v>11</v>
      </c>
      <c r="D31" s="4">
        <v>82.18</v>
      </c>
      <c r="E31" s="4">
        <v>1.55</v>
      </c>
      <c r="F31" s="3" t="s">
        <v>17</v>
      </c>
      <c r="G31" s="3" t="s">
        <v>13</v>
      </c>
      <c r="H31" s="5">
        <f t="shared" si="3"/>
        <v>34.20603538</v>
      </c>
      <c r="I31" s="5">
        <f t="array" ref="I31">XLOOKUP(A31,protein_data!A:A,protein_data!B:B,"")</f>
        <v>117</v>
      </c>
      <c r="J31" s="5" t="str">
        <f t="shared" si="4"/>
        <v>Non-Responder</v>
      </c>
    </row>
    <row r="32" ht="22.5" customHeight="1">
      <c r="A32" s="3" t="s">
        <v>47</v>
      </c>
      <c r="B32" s="4">
        <v>56.0</v>
      </c>
      <c r="C32" s="3" t="s">
        <v>21</v>
      </c>
      <c r="D32" s="4">
        <v>103.35</v>
      </c>
      <c r="E32" s="4">
        <v>1.7</v>
      </c>
      <c r="F32" s="3" t="s">
        <v>12</v>
      </c>
      <c r="G32" s="3" t="s">
        <v>15</v>
      </c>
      <c r="H32" s="5">
        <f t="shared" si="3"/>
        <v>35.76124567</v>
      </c>
      <c r="I32" s="5">
        <f t="array" ref="I32">XLOOKUP(A32,protein_data!A:A,protein_data!B:B,"")</f>
        <v>109</v>
      </c>
      <c r="J32" s="5" t="str">
        <f t="shared" si="4"/>
        <v>Responder</v>
      </c>
    </row>
    <row r="33" ht="22.5" customHeight="1">
      <c r="A33" s="3" t="s">
        <v>48</v>
      </c>
      <c r="B33" s="4">
        <v>66.0</v>
      </c>
      <c r="C33" s="3" t="s">
        <v>11</v>
      </c>
      <c r="D33" s="4">
        <v>83.84</v>
      </c>
      <c r="E33" s="4">
        <v>1.63</v>
      </c>
      <c r="F33" s="3" t="s">
        <v>12</v>
      </c>
      <c r="G33" s="3" t="s">
        <v>13</v>
      </c>
      <c r="H33" s="5">
        <f t="shared" si="3"/>
        <v>31.55557228</v>
      </c>
      <c r="I33" s="5">
        <f t="array" ref="I33">XLOOKUP(A33,protein_data!A:A,protein_data!B:B,"")</f>
        <v>158</v>
      </c>
      <c r="J33" s="5" t="str">
        <f t="shared" si="4"/>
        <v>Non-Responder</v>
      </c>
    </row>
    <row r="34" ht="22.5" customHeight="1">
      <c r="A34" s="3" t="s">
        <v>49</v>
      </c>
      <c r="B34" s="4">
        <v>55.0</v>
      </c>
      <c r="C34" s="3" t="s">
        <v>21</v>
      </c>
      <c r="D34" s="4">
        <v>73.24</v>
      </c>
      <c r="E34" s="4">
        <v>1.73</v>
      </c>
      <c r="F34" s="3" t="s">
        <v>17</v>
      </c>
      <c r="G34" s="3" t="s">
        <v>13</v>
      </c>
      <c r="H34" s="5">
        <f t="shared" si="3"/>
        <v>24.47124862</v>
      </c>
      <c r="I34" s="5">
        <f t="array" ref="I34">XLOOKUP(A34,protein_data!A:A,protein_data!B:B,"")</f>
        <v>88</v>
      </c>
      <c r="J34" s="5" t="str">
        <f t="shared" si="4"/>
        <v>Non-Responder</v>
      </c>
    </row>
    <row r="35" ht="22.5" customHeight="1">
      <c r="A35" s="3" t="s">
        <v>50</v>
      </c>
      <c r="B35" s="4">
        <v>66.0</v>
      </c>
      <c r="C35" s="3" t="s">
        <v>21</v>
      </c>
      <c r="D35" s="4">
        <v>63.33</v>
      </c>
      <c r="E35" s="4">
        <v>1.79</v>
      </c>
      <c r="F35" s="3" t="s">
        <v>17</v>
      </c>
      <c r="G35" s="3" t="s">
        <v>13</v>
      </c>
      <c r="H35" s="5">
        <f t="shared" si="3"/>
        <v>19.76530071</v>
      </c>
      <c r="I35" s="5">
        <f t="array" ref="I35">XLOOKUP(A35,protein_data!A:A,protein_data!B:B,"")</f>
        <v>92</v>
      </c>
      <c r="J35" s="5" t="str">
        <f t="shared" si="4"/>
        <v>Non-Responder</v>
      </c>
    </row>
    <row r="36" ht="22.5" customHeight="1">
      <c r="A36" s="3" t="s">
        <v>51</v>
      </c>
      <c r="B36" s="4">
        <v>69.0</v>
      </c>
      <c r="C36" s="3" t="s">
        <v>21</v>
      </c>
      <c r="D36" s="4">
        <v>87.55</v>
      </c>
      <c r="E36" s="4">
        <v>1.79</v>
      </c>
      <c r="F36" s="3" t="s">
        <v>12</v>
      </c>
      <c r="G36" s="3" t="s">
        <v>15</v>
      </c>
      <c r="H36" s="5">
        <f t="shared" si="3"/>
        <v>27.32436566</v>
      </c>
      <c r="I36" s="5">
        <f t="array" ref="I36">XLOOKUP(A36,protein_data!A:A,protein_data!B:B,"")</f>
        <v>122</v>
      </c>
      <c r="J36" s="5" t="str">
        <f t="shared" si="4"/>
        <v>Responder</v>
      </c>
    </row>
    <row r="37" ht="22.5" customHeight="1">
      <c r="A37" s="3" t="s">
        <v>52</v>
      </c>
      <c r="B37" s="4">
        <v>69.0</v>
      </c>
      <c r="C37" s="3" t="s">
        <v>21</v>
      </c>
      <c r="D37" s="4">
        <v>70.09</v>
      </c>
      <c r="E37" s="4">
        <v>1.72</v>
      </c>
      <c r="F37" s="3" t="s">
        <v>12</v>
      </c>
      <c r="G37" s="3" t="s">
        <v>15</v>
      </c>
      <c r="H37" s="5">
        <f t="shared" si="3"/>
        <v>23.69186047</v>
      </c>
      <c r="I37" s="5">
        <f t="array" ref="I37">XLOOKUP(A37,protein_data!A:A,protein_data!B:B,"")</f>
        <v>103</v>
      </c>
      <c r="J37" s="5" t="str">
        <f t="shared" si="4"/>
        <v>Responder</v>
      </c>
    </row>
    <row r="38" ht="22.5" customHeight="1">
      <c r="A38" s="3" t="s">
        <v>53</v>
      </c>
      <c r="B38" s="4">
        <v>70.0</v>
      </c>
      <c r="C38" s="3" t="s">
        <v>21</v>
      </c>
      <c r="D38" s="4">
        <v>91.69</v>
      </c>
      <c r="E38" s="4">
        <v>1.67</v>
      </c>
      <c r="F38" s="3" t="s">
        <v>17</v>
      </c>
      <c r="G38" s="3" t="s">
        <v>13</v>
      </c>
      <c r="H38" s="5">
        <f t="shared" si="3"/>
        <v>32.87676145</v>
      </c>
      <c r="I38" s="5">
        <f t="array" ref="I38">XLOOKUP(A38,protein_data!A:A,protein_data!B:B,"")</f>
        <v>138</v>
      </c>
      <c r="J38" s="5" t="str">
        <f t="shared" si="4"/>
        <v>Non-Responder</v>
      </c>
    </row>
    <row r="39" ht="22.5" customHeight="1">
      <c r="A39" s="3" t="s">
        <v>54</v>
      </c>
      <c r="B39" s="4">
        <v>49.0</v>
      </c>
      <c r="C39" s="3" t="s">
        <v>11</v>
      </c>
      <c r="D39" s="4">
        <v>88.1</v>
      </c>
      <c r="E39" s="4">
        <v>1.64</v>
      </c>
      <c r="F39" s="3" t="s">
        <v>12</v>
      </c>
      <c r="G39" s="3" t="s">
        <v>15</v>
      </c>
      <c r="H39" s="5">
        <f t="shared" si="3"/>
        <v>32.75580012</v>
      </c>
      <c r="I39" s="5">
        <f t="array" ref="I39">XLOOKUP(A39,protein_data!A:A,protein_data!B:B,"")</f>
        <v>102</v>
      </c>
      <c r="J39" s="5" t="str">
        <f t="shared" si="4"/>
        <v>Responder</v>
      </c>
    </row>
    <row r="40" ht="22.5" customHeight="1">
      <c r="A40" s="3" t="s">
        <v>55</v>
      </c>
      <c r="B40" s="4">
        <v>63.0</v>
      </c>
      <c r="C40" s="3" t="s">
        <v>21</v>
      </c>
      <c r="D40" s="4">
        <v>112.73</v>
      </c>
      <c r="E40" s="4">
        <v>1.72</v>
      </c>
      <c r="F40" s="3" t="s">
        <v>12</v>
      </c>
      <c r="G40" s="3" t="s">
        <v>15</v>
      </c>
      <c r="H40" s="5">
        <f t="shared" si="3"/>
        <v>38.10505679</v>
      </c>
      <c r="I40" s="5">
        <f t="array" ref="I40">XLOOKUP(A40,protein_data!A:A,protein_data!B:B,"")</f>
        <v>90</v>
      </c>
      <c r="J40" s="5" t="str">
        <f t="shared" si="4"/>
        <v>Responder</v>
      </c>
    </row>
    <row r="41" ht="22.5" customHeight="1">
      <c r="A41" s="3" t="s">
        <v>56</v>
      </c>
      <c r="B41" s="4">
        <v>62.0</v>
      </c>
      <c r="C41" s="3" t="s">
        <v>21</v>
      </c>
      <c r="D41" s="4">
        <v>109.52</v>
      </c>
      <c r="E41" s="4">
        <v>1.73</v>
      </c>
      <c r="F41" s="3" t="s">
        <v>12</v>
      </c>
      <c r="G41" s="3" t="s">
        <v>15</v>
      </c>
      <c r="H41" s="5">
        <f t="shared" si="3"/>
        <v>36.59327074</v>
      </c>
      <c r="I41" s="5">
        <f t="array" ref="I41">XLOOKUP(A41,protein_data!A:A,protein_data!B:B,"")</f>
        <v>111</v>
      </c>
      <c r="J41" s="5" t="str">
        <f t="shared" si="4"/>
        <v>Responder</v>
      </c>
    </row>
    <row r="42" ht="22.5" customHeight="1">
      <c r="A42" s="3" t="s">
        <v>57</v>
      </c>
      <c r="B42" s="4">
        <v>66.0</v>
      </c>
      <c r="C42" s="3" t="s">
        <v>11</v>
      </c>
      <c r="D42" s="4">
        <v>99.31</v>
      </c>
      <c r="E42" s="4">
        <v>1.71</v>
      </c>
      <c r="F42" s="3" t="s">
        <v>12</v>
      </c>
      <c r="G42" s="3" t="s">
        <v>13</v>
      </c>
      <c r="H42" s="5">
        <f t="shared" si="3"/>
        <v>33.96258678</v>
      </c>
      <c r="I42" s="5">
        <f t="array" ref="I42">XLOOKUP(A42,protein_data!A:A,protein_data!B:B,"")</f>
        <v>180</v>
      </c>
      <c r="J42" s="5" t="str">
        <f t="shared" si="4"/>
        <v>Non-Responder</v>
      </c>
    </row>
    <row r="43" ht="22.5" customHeight="1">
      <c r="A43" s="3" t="s">
        <v>58</v>
      </c>
      <c r="B43" s="4">
        <v>68.0</v>
      </c>
      <c r="C43" s="3" t="s">
        <v>11</v>
      </c>
      <c r="D43" s="4">
        <v>112.26</v>
      </c>
      <c r="E43" s="4">
        <v>1.67</v>
      </c>
      <c r="F43" s="3" t="s">
        <v>17</v>
      </c>
      <c r="G43" s="3" t="s">
        <v>13</v>
      </c>
      <c r="H43" s="5">
        <f t="shared" si="3"/>
        <v>40.25242927</v>
      </c>
      <c r="I43" s="5">
        <f t="array" ref="I43">XLOOKUP(A43,protein_data!A:A,protein_data!B:B,"")</f>
        <v>133</v>
      </c>
      <c r="J43" s="5" t="str">
        <f t="shared" si="4"/>
        <v>Non-Responder</v>
      </c>
    </row>
    <row r="44" ht="22.5" customHeight="1">
      <c r="A44" s="3" t="s">
        <v>59</v>
      </c>
      <c r="B44" s="4">
        <v>64.0</v>
      </c>
      <c r="C44" s="3" t="s">
        <v>21</v>
      </c>
      <c r="D44" s="4">
        <v>64.62</v>
      </c>
      <c r="E44" s="4">
        <v>1.69</v>
      </c>
      <c r="F44" s="3" t="s">
        <v>12</v>
      </c>
      <c r="G44" s="3" t="s">
        <v>15</v>
      </c>
      <c r="H44" s="5">
        <f t="shared" si="3"/>
        <v>22.62525822</v>
      </c>
      <c r="I44" s="5">
        <f t="array" ref="I44">XLOOKUP(A44,protein_data!A:A,protein_data!B:B,"")</f>
        <v>106</v>
      </c>
      <c r="J44" s="5" t="str">
        <f t="shared" si="4"/>
        <v>Responder</v>
      </c>
    </row>
    <row r="45" ht="22.5" customHeight="1">
      <c r="A45" s="3" t="s">
        <v>60</v>
      </c>
      <c r="B45" s="4">
        <v>71.0</v>
      </c>
      <c r="C45" s="3" t="s">
        <v>11</v>
      </c>
      <c r="D45" s="4">
        <v>127.58</v>
      </c>
      <c r="E45" s="4">
        <v>1.68</v>
      </c>
      <c r="F45" s="3" t="s">
        <v>12</v>
      </c>
      <c r="G45" s="3" t="s">
        <v>13</v>
      </c>
      <c r="H45" s="5">
        <f t="shared" si="3"/>
        <v>45.2026644</v>
      </c>
      <c r="I45" s="5">
        <f t="array" ref="I45">XLOOKUP(A45,protein_data!A:A,protein_data!B:B,"")</f>
        <v>171</v>
      </c>
      <c r="J45" s="5" t="str">
        <f t="shared" si="4"/>
        <v>Non-Responder</v>
      </c>
    </row>
    <row r="46" ht="22.5" customHeight="1">
      <c r="A46" s="3" t="s">
        <v>61</v>
      </c>
      <c r="B46" s="4">
        <v>63.0</v>
      </c>
      <c r="C46" s="3" t="s">
        <v>21</v>
      </c>
      <c r="D46" s="4">
        <v>77.89</v>
      </c>
      <c r="E46" s="4">
        <v>1.69</v>
      </c>
      <c r="F46" s="3" t="s">
        <v>12</v>
      </c>
      <c r="G46" s="3" t="s">
        <v>13</v>
      </c>
      <c r="H46" s="5">
        <f t="shared" si="3"/>
        <v>27.27145408</v>
      </c>
      <c r="I46" s="5">
        <f t="array" ref="I46">XLOOKUP(A46,protein_data!A:A,protein_data!B:B,"")</f>
        <v>159</v>
      </c>
      <c r="J46" s="5" t="str">
        <f t="shared" si="4"/>
        <v>Non-Responder</v>
      </c>
    </row>
    <row r="47" ht="22.5" customHeight="1">
      <c r="A47" s="3" t="s">
        <v>62</v>
      </c>
      <c r="B47" s="4">
        <v>61.0</v>
      </c>
      <c r="C47" s="3" t="s">
        <v>21</v>
      </c>
      <c r="D47" s="4">
        <v>131.25</v>
      </c>
      <c r="E47" s="4">
        <v>1.78</v>
      </c>
      <c r="F47" s="3" t="s">
        <v>17</v>
      </c>
      <c r="G47" s="3" t="s">
        <v>13</v>
      </c>
      <c r="H47" s="5">
        <f t="shared" si="3"/>
        <v>41.42469385</v>
      </c>
      <c r="I47" s="5">
        <f t="array" ref="I47">XLOOKUP(A47,protein_data!A:A,protein_data!B:B,"")</f>
        <v>180</v>
      </c>
      <c r="J47" s="5" t="str">
        <f t="shared" si="4"/>
        <v>Non-Responder</v>
      </c>
    </row>
    <row r="48" ht="22.5" customHeight="1">
      <c r="A48" s="3" t="s">
        <v>63</v>
      </c>
      <c r="B48" s="4">
        <v>58.0</v>
      </c>
      <c r="C48" s="3" t="s">
        <v>21</v>
      </c>
      <c r="D48" s="4">
        <v>100.35</v>
      </c>
      <c r="E48" s="4">
        <v>1.85</v>
      </c>
      <c r="F48" s="3" t="s">
        <v>12</v>
      </c>
      <c r="G48" s="3" t="s">
        <v>13</v>
      </c>
      <c r="H48" s="5">
        <f t="shared" si="3"/>
        <v>29.32067202</v>
      </c>
      <c r="I48" s="5">
        <f t="array" ref="I48">XLOOKUP(A48,protein_data!A:A,protein_data!B:B,"")</f>
        <v>146</v>
      </c>
      <c r="J48" s="5" t="str">
        <f t="shared" si="4"/>
        <v>Non-Responder</v>
      </c>
    </row>
    <row r="49" ht="22.5" customHeight="1">
      <c r="A49" s="3" t="s">
        <v>64</v>
      </c>
      <c r="B49" s="4">
        <v>60.0</v>
      </c>
      <c r="C49" s="3" t="s">
        <v>21</v>
      </c>
      <c r="D49" s="4">
        <v>91.61</v>
      </c>
      <c r="E49" s="4">
        <v>1.82</v>
      </c>
      <c r="F49" s="3" t="s">
        <v>17</v>
      </c>
      <c r="G49" s="3" t="s">
        <v>15</v>
      </c>
      <c r="H49" s="5">
        <f t="shared" si="3"/>
        <v>27.65668398</v>
      </c>
      <c r="I49" s="5">
        <f t="array" ref="I49">XLOOKUP(A49,protein_data!A:A,protein_data!B:B,"")</f>
        <v>71</v>
      </c>
      <c r="J49" s="5" t="str">
        <f t="shared" si="4"/>
        <v>Responder</v>
      </c>
    </row>
    <row r="50" ht="22.5" customHeight="1">
      <c r="A50" s="3" t="s">
        <v>65</v>
      </c>
      <c r="B50" s="4">
        <v>63.0</v>
      </c>
      <c r="C50" s="3" t="s">
        <v>11</v>
      </c>
      <c r="D50" s="4">
        <v>104.13</v>
      </c>
      <c r="E50" s="4">
        <v>1.63</v>
      </c>
      <c r="F50" s="3" t="s">
        <v>12</v>
      </c>
      <c r="G50" s="3" t="s">
        <v>15</v>
      </c>
      <c r="H50" s="5">
        <f t="shared" si="3"/>
        <v>39.19229177</v>
      </c>
      <c r="I50" s="5">
        <f t="array" ref="I50">XLOOKUP(A50,protein_data!A:A,protein_data!B:B,"")</f>
        <v>103</v>
      </c>
      <c r="J50" s="5" t="str">
        <f t="shared" si="4"/>
        <v>Responder</v>
      </c>
    </row>
    <row r="51" ht="22.5" hidden="1" customHeight="1">
      <c r="A51" s="3" t="s">
        <v>66</v>
      </c>
      <c r="B51" s="4">
        <v>65.0</v>
      </c>
      <c r="C51" s="3" t="s">
        <v>21</v>
      </c>
      <c r="D51" s="3" t="s">
        <v>26</v>
      </c>
      <c r="E51" s="4">
        <v>1.71</v>
      </c>
      <c r="F51" s="3" t="s">
        <v>12</v>
      </c>
      <c r="G51" s="3" t="s">
        <v>13</v>
      </c>
      <c r="H51" s="5"/>
      <c r="I51" s="5"/>
      <c r="J51" s="5"/>
    </row>
    <row r="52" ht="22.5" customHeight="1">
      <c r="A52" s="3" t="s">
        <v>67</v>
      </c>
      <c r="B52" s="4">
        <v>59.0</v>
      </c>
      <c r="C52" s="3" t="s">
        <v>11</v>
      </c>
      <c r="D52" s="4">
        <v>48.9</v>
      </c>
      <c r="E52" s="4">
        <v>1.59</v>
      </c>
      <c r="F52" s="3" t="s">
        <v>12</v>
      </c>
      <c r="G52" s="3" t="s">
        <v>13</v>
      </c>
      <c r="H52" s="5">
        <f t="shared" ref="H52:H61" si="5">(D52)/(E52^2)</f>
        <v>19.3425893</v>
      </c>
      <c r="I52" s="5">
        <f t="array" ref="I52">XLOOKUP(A52,protein_data!A:A,protein_data!B:B,"")</f>
        <v>103</v>
      </c>
      <c r="J52" s="5" t="str">
        <f t="shared" ref="J52:J61" si="6">if(G52="y","Responder","Non-Responder")</f>
        <v>Non-Responder</v>
      </c>
    </row>
    <row r="53" ht="22.5" customHeight="1">
      <c r="A53" s="3" t="s">
        <v>68</v>
      </c>
      <c r="B53" s="4">
        <v>51.0</v>
      </c>
      <c r="C53" s="3" t="s">
        <v>11</v>
      </c>
      <c r="D53" s="4">
        <v>63.17</v>
      </c>
      <c r="E53" s="4">
        <v>1.62</v>
      </c>
      <c r="F53" s="3" t="s">
        <v>12</v>
      </c>
      <c r="G53" s="3" t="s">
        <v>15</v>
      </c>
      <c r="H53" s="5">
        <f t="shared" si="5"/>
        <v>24.07026368</v>
      </c>
      <c r="I53" s="5">
        <f t="array" ref="I53">XLOOKUP(A53,protein_data!A:A,protein_data!B:B,"")</f>
        <v>101</v>
      </c>
      <c r="J53" s="5" t="str">
        <f t="shared" si="6"/>
        <v>Responder</v>
      </c>
    </row>
    <row r="54" ht="22.5" customHeight="1">
      <c r="A54" s="3" t="s">
        <v>69</v>
      </c>
      <c r="B54" s="4">
        <v>65.0</v>
      </c>
      <c r="C54" s="3" t="s">
        <v>21</v>
      </c>
      <c r="D54" s="4">
        <v>64.84</v>
      </c>
      <c r="E54" s="4">
        <v>1.64</v>
      </c>
      <c r="F54" s="3" t="s">
        <v>17</v>
      </c>
      <c r="G54" s="3" t="s">
        <v>15</v>
      </c>
      <c r="H54" s="5">
        <f t="shared" si="5"/>
        <v>24.107674</v>
      </c>
      <c r="I54" s="5">
        <f t="array" ref="I54">XLOOKUP(A54,protein_data!A:A,protein_data!B:B,"")</f>
        <v>88</v>
      </c>
      <c r="J54" s="5" t="str">
        <f t="shared" si="6"/>
        <v>Responder</v>
      </c>
    </row>
    <row r="55" ht="22.5" customHeight="1">
      <c r="A55" s="3" t="s">
        <v>70</v>
      </c>
      <c r="B55" s="4">
        <v>58.0</v>
      </c>
      <c r="C55" s="3" t="s">
        <v>11</v>
      </c>
      <c r="D55" s="4">
        <v>88.23</v>
      </c>
      <c r="E55" s="4">
        <v>1.62</v>
      </c>
      <c r="F55" s="3" t="s">
        <v>17</v>
      </c>
      <c r="G55" s="3" t="s">
        <v>13</v>
      </c>
      <c r="H55" s="5">
        <f t="shared" si="5"/>
        <v>33.61911294</v>
      </c>
      <c r="I55" s="5">
        <f t="array" ref="I55">XLOOKUP(A55,protein_data!A:A,protein_data!B:B,"")</f>
        <v>176</v>
      </c>
      <c r="J55" s="5" t="str">
        <f t="shared" si="6"/>
        <v>Non-Responder</v>
      </c>
    </row>
    <row r="56" ht="22.5" customHeight="1">
      <c r="A56" s="3" t="s">
        <v>71</v>
      </c>
      <c r="B56" s="4">
        <v>70.0</v>
      </c>
      <c r="C56" s="3" t="s">
        <v>11</v>
      </c>
      <c r="D56" s="4">
        <v>82.39</v>
      </c>
      <c r="E56" s="4">
        <v>1.54</v>
      </c>
      <c r="F56" s="3" t="s">
        <v>17</v>
      </c>
      <c r="G56" s="3" t="s">
        <v>13</v>
      </c>
      <c r="H56" s="5">
        <f t="shared" si="5"/>
        <v>34.74025974</v>
      </c>
      <c r="I56" s="5">
        <f t="array" ref="I56">XLOOKUP(A56,protein_data!A:A,protein_data!B:B,"")</f>
        <v>150</v>
      </c>
      <c r="J56" s="5" t="str">
        <f t="shared" si="6"/>
        <v>Non-Responder</v>
      </c>
    </row>
    <row r="57" ht="22.5" customHeight="1">
      <c r="A57" s="3" t="s">
        <v>72</v>
      </c>
      <c r="B57" s="4">
        <v>64.0</v>
      </c>
      <c r="C57" s="3" t="s">
        <v>11</v>
      </c>
      <c r="D57" s="4">
        <v>57.12</v>
      </c>
      <c r="E57" s="4">
        <v>1.58</v>
      </c>
      <c r="F57" s="3" t="s">
        <v>17</v>
      </c>
      <c r="G57" s="3" t="s">
        <v>13</v>
      </c>
      <c r="H57" s="5">
        <f t="shared" si="5"/>
        <v>22.88094857</v>
      </c>
      <c r="I57" s="5">
        <f t="array" ref="I57">XLOOKUP(A57,protein_data!A:A,protein_data!B:B,"")</f>
        <v>73</v>
      </c>
      <c r="J57" s="5" t="str">
        <f t="shared" si="6"/>
        <v>Non-Responder</v>
      </c>
    </row>
    <row r="58" ht="22.5" customHeight="1">
      <c r="A58" s="3" t="s">
        <v>73</v>
      </c>
      <c r="B58" s="4">
        <v>57.0</v>
      </c>
      <c r="C58" s="3" t="s">
        <v>21</v>
      </c>
      <c r="D58" s="4">
        <v>104.77</v>
      </c>
      <c r="E58" s="4">
        <v>1.67</v>
      </c>
      <c r="F58" s="3" t="s">
        <v>12</v>
      </c>
      <c r="G58" s="3" t="s">
        <v>13</v>
      </c>
      <c r="H58" s="5">
        <f t="shared" si="5"/>
        <v>37.5667826</v>
      </c>
      <c r="I58" s="5">
        <f t="array" ref="I58">XLOOKUP(A58,protein_data!A:A,protein_data!B:B,"")</f>
        <v>187</v>
      </c>
      <c r="J58" s="5" t="str">
        <f t="shared" si="6"/>
        <v>Non-Responder</v>
      </c>
    </row>
    <row r="59" ht="22.5" customHeight="1">
      <c r="A59" s="3" t="s">
        <v>74</v>
      </c>
      <c r="B59" s="4">
        <v>73.0</v>
      </c>
      <c r="C59" s="3" t="s">
        <v>21</v>
      </c>
      <c r="D59" s="4">
        <v>147.54</v>
      </c>
      <c r="E59" s="4">
        <v>1.78</v>
      </c>
      <c r="F59" s="3" t="s">
        <v>12</v>
      </c>
      <c r="G59" s="3" t="s">
        <v>15</v>
      </c>
      <c r="H59" s="5">
        <f t="shared" si="5"/>
        <v>46.56609014</v>
      </c>
      <c r="I59" s="5">
        <f t="array" ref="I59">XLOOKUP(A59,protein_data!A:A,protein_data!B:B,"")</f>
        <v>100</v>
      </c>
      <c r="J59" s="5" t="str">
        <f t="shared" si="6"/>
        <v>Responder</v>
      </c>
    </row>
    <row r="60" ht="22.5" customHeight="1">
      <c r="A60" s="3" t="s">
        <v>75</v>
      </c>
      <c r="B60" s="4">
        <v>58.0</v>
      </c>
      <c r="C60" s="3" t="s">
        <v>21</v>
      </c>
      <c r="D60" s="4">
        <v>137.81</v>
      </c>
      <c r="E60" s="4">
        <v>1.85</v>
      </c>
      <c r="F60" s="3" t="s">
        <v>12</v>
      </c>
      <c r="G60" s="3" t="s">
        <v>15</v>
      </c>
      <c r="H60" s="5">
        <f t="shared" si="5"/>
        <v>40.26588751</v>
      </c>
      <c r="I60" s="5">
        <f t="array" ref="I60">XLOOKUP(A60,protein_data!A:A,protein_data!B:B,"")</f>
        <v>146</v>
      </c>
      <c r="J60" s="5" t="str">
        <f t="shared" si="6"/>
        <v>Responder</v>
      </c>
    </row>
    <row r="61" ht="22.5" customHeight="1">
      <c r="A61" s="3" t="s">
        <v>76</v>
      </c>
      <c r="B61" s="4">
        <v>59.0</v>
      </c>
      <c r="C61" s="3" t="s">
        <v>11</v>
      </c>
      <c r="D61" s="4">
        <v>109.88</v>
      </c>
      <c r="E61" s="4">
        <v>1.63</v>
      </c>
      <c r="F61" s="3" t="s">
        <v>17</v>
      </c>
      <c r="G61" s="3" t="s">
        <v>13</v>
      </c>
      <c r="H61" s="5">
        <f t="shared" si="5"/>
        <v>41.35646806</v>
      </c>
      <c r="I61" s="5">
        <f t="array" ref="I61">XLOOKUP(A61,protein_data!A:A,protein_data!B:B,"")</f>
        <v>105</v>
      </c>
      <c r="J61" s="5" t="str">
        <f t="shared" si="6"/>
        <v>Non-Responder</v>
      </c>
    </row>
    <row r="62" ht="22.5" hidden="1" customHeight="1">
      <c r="A62" s="3" t="s">
        <v>77</v>
      </c>
      <c r="B62" s="4">
        <v>61.0</v>
      </c>
      <c r="C62" s="3" t="s">
        <v>21</v>
      </c>
      <c r="D62" s="3" t="s">
        <v>26</v>
      </c>
      <c r="E62" s="4">
        <v>1.79</v>
      </c>
      <c r="F62" s="3" t="s">
        <v>17</v>
      </c>
      <c r="G62" s="3" t="s">
        <v>13</v>
      </c>
      <c r="H62" s="5"/>
      <c r="I62" s="5"/>
      <c r="J62" s="5"/>
    </row>
    <row r="63" ht="22.5" customHeight="1">
      <c r="A63" s="3" t="s">
        <v>78</v>
      </c>
      <c r="B63" s="4">
        <v>63.0</v>
      </c>
      <c r="C63" s="3" t="s">
        <v>21</v>
      </c>
      <c r="D63" s="4">
        <v>97.35</v>
      </c>
      <c r="E63" s="4">
        <v>1.73</v>
      </c>
      <c r="F63" s="3" t="s">
        <v>12</v>
      </c>
      <c r="G63" s="3" t="s">
        <v>13</v>
      </c>
      <c r="H63" s="5">
        <f t="shared" ref="H63:H82" si="7">(D63)/(E63^2)</f>
        <v>32.52698052</v>
      </c>
      <c r="I63" s="5">
        <f t="array" ref="I63">XLOOKUP(A63,protein_data!A:A,protein_data!B:B,"")</f>
        <v>133</v>
      </c>
      <c r="J63" s="5" t="str">
        <f t="shared" ref="J63:J82" si="8">if(G63="y","Responder","Non-Responder")</f>
        <v>Non-Responder</v>
      </c>
    </row>
    <row r="64" ht="22.5" customHeight="1">
      <c r="A64" s="3" t="s">
        <v>79</v>
      </c>
      <c r="B64" s="4">
        <v>52.0</v>
      </c>
      <c r="C64" s="3" t="s">
        <v>21</v>
      </c>
      <c r="D64" s="4">
        <v>77.23</v>
      </c>
      <c r="E64" s="4">
        <v>1.76</v>
      </c>
      <c r="F64" s="3" t="s">
        <v>17</v>
      </c>
      <c r="G64" s="3" t="s">
        <v>15</v>
      </c>
      <c r="H64" s="5">
        <f t="shared" si="7"/>
        <v>24.93220558</v>
      </c>
      <c r="I64" s="5">
        <f t="array" ref="I64">XLOOKUP(A64,protein_data!A:A,protein_data!B:B,"")</f>
        <v>44</v>
      </c>
      <c r="J64" s="5" t="str">
        <f t="shared" si="8"/>
        <v>Responder</v>
      </c>
    </row>
    <row r="65" ht="22.5" customHeight="1">
      <c r="A65" s="3" t="s">
        <v>80</v>
      </c>
      <c r="B65" s="4">
        <v>69.0</v>
      </c>
      <c r="C65" s="3" t="s">
        <v>21</v>
      </c>
      <c r="D65" s="4">
        <v>76.46</v>
      </c>
      <c r="E65" s="4">
        <v>1.74</v>
      </c>
      <c r="F65" s="3" t="s">
        <v>17</v>
      </c>
      <c r="G65" s="3" t="s">
        <v>13</v>
      </c>
      <c r="H65" s="5">
        <f t="shared" si="7"/>
        <v>25.25432686</v>
      </c>
      <c r="I65" s="5">
        <f t="array" ref="I65">XLOOKUP(A65,protein_data!A:A,protein_data!B:B,"")</f>
        <v>141</v>
      </c>
      <c r="J65" s="5" t="str">
        <f t="shared" si="8"/>
        <v>Non-Responder</v>
      </c>
    </row>
    <row r="66" ht="22.5" customHeight="1">
      <c r="A66" s="3" t="s">
        <v>81</v>
      </c>
      <c r="B66" s="4">
        <v>59.0</v>
      </c>
      <c r="C66" s="3" t="s">
        <v>11</v>
      </c>
      <c r="D66" s="4">
        <v>81.74</v>
      </c>
      <c r="E66" s="4">
        <v>1.58</v>
      </c>
      <c r="F66" s="3" t="s">
        <v>17</v>
      </c>
      <c r="G66" s="3" t="s">
        <v>13</v>
      </c>
      <c r="H66" s="5">
        <f t="shared" si="7"/>
        <v>32.74315014</v>
      </c>
      <c r="I66" s="5">
        <f t="array" ref="I66">XLOOKUP(A66,protein_data!A:A,protein_data!B:B,"")</f>
        <v>114</v>
      </c>
      <c r="J66" s="5" t="str">
        <f t="shared" si="8"/>
        <v>Non-Responder</v>
      </c>
    </row>
    <row r="67" ht="22.5" customHeight="1">
      <c r="A67" s="3" t="s">
        <v>82</v>
      </c>
      <c r="B67" s="4">
        <v>63.0</v>
      </c>
      <c r="C67" s="3" t="s">
        <v>11</v>
      </c>
      <c r="D67" s="4">
        <v>76.91</v>
      </c>
      <c r="E67" s="4">
        <v>1.63</v>
      </c>
      <c r="F67" s="3" t="s">
        <v>17</v>
      </c>
      <c r="G67" s="3" t="s">
        <v>13</v>
      </c>
      <c r="H67" s="5">
        <f t="shared" si="7"/>
        <v>28.94726937</v>
      </c>
      <c r="I67" s="5">
        <f t="array" ref="I67">XLOOKUP(A67,protein_data!A:A,protein_data!B:B,"")</f>
        <v>99</v>
      </c>
      <c r="J67" s="5" t="str">
        <f t="shared" si="8"/>
        <v>Non-Responder</v>
      </c>
    </row>
    <row r="68" ht="22.5" customHeight="1">
      <c r="A68" s="3" t="s">
        <v>83</v>
      </c>
      <c r="B68" s="4">
        <v>65.0</v>
      </c>
      <c r="C68" s="3" t="s">
        <v>21</v>
      </c>
      <c r="D68" s="4">
        <v>97.0</v>
      </c>
      <c r="E68" s="4">
        <v>1.73</v>
      </c>
      <c r="F68" s="3" t="s">
        <v>17</v>
      </c>
      <c r="G68" s="3" t="s">
        <v>15</v>
      </c>
      <c r="H68" s="5">
        <f t="shared" si="7"/>
        <v>32.41003709</v>
      </c>
      <c r="I68" s="5">
        <f t="array" ref="I68">XLOOKUP(A68,protein_data!A:A,protein_data!B:B,"")</f>
        <v>109</v>
      </c>
      <c r="J68" s="5" t="str">
        <f t="shared" si="8"/>
        <v>Responder</v>
      </c>
    </row>
    <row r="69" ht="22.5" customHeight="1">
      <c r="A69" s="3" t="s">
        <v>84</v>
      </c>
      <c r="B69" s="4">
        <v>56.0</v>
      </c>
      <c r="C69" s="3" t="s">
        <v>21</v>
      </c>
      <c r="D69" s="4">
        <v>140.59</v>
      </c>
      <c r="E69" s="4">
        <v>1.82</v>
      </c>
      <c r="F69" s="3" t="s">
        <v>17</v>
      </c>
      <c r="G69" s="3" t="s">
        <v>15</v>
      </c>
      <c r="H69" s="5">
        <f t="shared" si="7"/>
        <v>42.44354547</v>
      </c>
      <c r="I69" s="5">
        <f t="array" ref="I69">XLOOKUP(A69,protein_data!A:A,protein_data!B:B,"")</f>
        <v>109</v>
      </c>
      <c r="J69" s="5" t="str">
        <f t="shared" si="8"/>
        <v>Responder</v>
      </c>
    </row>
    <row r="70" ht="22.5" customHeight="1">
      <c r="A70" s="3" t="s">
        <v>85</v>
      </c>
      <c r="B70" s="4">
        <v>61.0</v>
      </c>
      <c r="C70" s="3" t="s">
        <v>11</v>
      </c>
      <c r="D70" s="4">
        <v>52.62</v>
      </c>
      <c r="E70" s="4">
        <v>1.64</v>
      </c>
      <c r="F70" s="3" t="s">
        <v>12</v>
      </c>
      <c r="G70" s="3" t="s">
        <v>13</v>
      </c>
      <c r="H70" s="5">
        <f t="shared" si="7"/>
        <v>19.56424747</v>
      </c>
      <c r="I70" s="5">
        <f t="array" ref="I70">XLOOKUP(A70,protein_data!A:A,protein_data!B:B,"")</f>
        <v>95</v>
      </c>
      <c r="J70" s="5" t="str">
        <f t="shared" si="8"/>
        <v>Non-Responder</v>
      </c>
    </row>
    <row r="71" ht="22.5" customHeight="1">
      <c r="A71" s="3" t="s">
        <v>86</v>
      </c>
      <c r="B71" s="4">
        <v>59.0</v>
      </c>
      <c r="C71" s="3" t="s">
        <v>21</v>
      </c>
      <c r="D71" s="4">
        <v>91.43</v>
      </c>
      <c r="E71" s="4">
        <v>1.79</v>
      </c>
      <c r="F71" s="3" t="s">
        <v>17</v>
      </c>
      <c r="G71" s="3" t="s">
        <v>13</v>
      </c>
      <c r="H71" s="5">
        <f t="shared" si="7"/>
        <v>28.53531413</v>
      </c>
      <c r="I71" s="5">
        <f t="array" ref="I71">XLOOKUP(A71,protein_data!A:A,protein_data!B:B,"")</f>
        <v>146</v>
      </c>
      <c r="J71" s="5" t="str">
        <f t="shared" si="8"/>
        <v>Non-Responder</v>
      </c>
    </row>
    <row r="72" ht="22.5" customHeight="1">
      <c r="A72" s="3" t="s">
        <v>87</v>
      </c>
      <c r="B72" s="4">
        <v>65.0</v>
      </c>
      <c r="C72" s="3" t="s">
        <v>11</v>
      </c>
      <c r="D72" s="4">
        <v>90.64</v>
      </c>
      <c r="E72" s="4">
        <v>1.66</v>
      </c>
      <c r="F72" s="3" t="s">
        <v>17</v>
      </c>
      <c r="G72" s="3" t="s">
        <v>13</v>
      </c>
      <c r="H72" s="5">
        <f t="shared" si="7"/>
        <v>32.89301785</v>
      </c>
      <c r="I72" s="5">
        <f t="array" ref="I72">XLOOKUP(A72,protein_data!A:A,protein_data!B:B,"")</f>
        <v>100</v>
      </c>
      <c r="J72" s="5" t="str">
        <f t="shared" si="8"/>
        <v>Non-Responder</v>
      </c>
    </row>
    <row r="73" ht="22.5" customHeight="1">
      <c r="A73" s="3" t="s">
        <v>88</v>
      </c>
      <c r="B73" s="4">
        <v>57.0</v>
      </c>
      <c r="C73" s="3" t="s">
        <v>21</v>
      </c>
      <c r="D73" s="4">
        <v>88.34</v>
      </c>
      <c r="E73" s="4">
        <v>1.76</v>
      </c>
      <c r="F73" s="3" t="s">
        <v>17</v>
      </c>
      <c r="G73" s="3" t="s">
        <v>13</v>
      </c>
      <c r="H73" s="5">
        <f t="shared" si="7"/>
        <v>28.51885331</v>
      </c>
      <c r="I73" s="5">
        <f t="array" ref="I73">XLOOKUP(A73,protein_data!A:A,protein_data!B:B,"")</f>
        <v>139</v>
      </c>
      <c r="J73" s="5" t="str">
        <f t="shared" si="8"/>
        <v>Non-Responder</v>
      </c>
    </row>
    <row r="74" ht="22.5" customHeight="1">
      <c r="A74" s="3" t="s">
        <v>89</v>
      </c>
      <c r="B74" s="4">
        <v>71.0</v>
      </c>
      <c r="C74" s="3" t="s">
        <v>21</v>
      </c>
      <c r="D74" s="4">
        <v>150.35</v>
      </c>
      <c r="E74" s="4">
        <v>1.87</v>
      </c>
      <c r="F74" s="3" t="s">
        <v>12</v>
      </c>
      <c r="G74" s="3" t="s">
        <v>15</v>
      </c>
      <c r="H74" s="5">
        <f t="shared" si="7"/>
        <v>42.99522434</v>
      </c>
      <c r="I74" s="5">
        <f t="array" ref="I74">XLOOKUP(A74,protein_data!A:A,protein_data!B:B,"")</f>
        <v>126</v>
      </c>
      <c r="J74" s="5" t="str">
        <f t="shared" si="8"/>
        <v>Responder</v>
      </c>
    </row>
    <row r="75" ht="22.5" customHeight="1">
      <c r="A75" s="3" t="s">
        <v>90</v>
      </c>
      <c r="B75" s="4">
        <v>60.0</v>
      </c>
      <c r="C75" s="3" t="s">
        <v>21</v>
      </c>
      <c r="D75" s="4">
        <v>127.68</v>
      </c>
      <c r="E75" s="4">
        <v>1.92</v>
      </c>
      <c r="F75" s="3" t="s">
        <v>17</v>
      </c>
      <c r="G75" s="3" t="s">
        <v>13</v>
      </c>
      <c r="H75" s="5">
        <f t="shared" si="7"/>
        <v>34.63541667</v>
      </c>
      <c r="I75" s="5">
        <f t="array" ref="I75">XLOOKUP(A75,protein_data!A:A,protein_data!B:B,"")</f>
        <v>129</v>
      </c>
      <c r="J75" s="5" t="str">
        <f t="shared" si="8"/>
        <v>Non-Responder</v>
      </c>
    </row>
    <row r="76" ht="22.5" customHeight="1">
      <c r="A76" s="3" t="s">
        <v>91</v>
      </c>
      <c r="B76" s="4">
        <v>71.0</v>
      </c>
      <c r="C76" s="3" t="s">
        <v>11</v>
      </c>
      <c r="D76" s="4">
        <v>86.88</v>
      </c>
      <c r="E76" s="4">
        <v>1.65</v>
      </c>
      <c r="F76" s="3" t="s">
        <v>12</v>
      </c>
      <c r="G76" s="3" t="s">
        <v>15</v>
      </c>
      <c r="H76" s="5">
        <f t="shared" si="7"/>
        <v>31.91184573</v>
      </c>
      <c r="I76" s="5">
        <f t="array" ref="I76">XLOOKUP(A76,protein_data!A:A,protein_data!B:B,"")</f>
        <v>79</v>
      </c>
      <c r="J76" s="5" t="str">
        <f t="shared" si="8"/>
        <v>Responder</v>
      </c>
    </row>
    <row r="77" ht="22.5" customHeight="1">
      <c r="A77" s="3" t="s">
        <v>92</v>
      </c>
      <c r="B77" s="4">
        <v>78.0</v>
      </c>
      <c r="C77" s="3" t="s">
        <v>21</v>
      </c>
      <c r="D77" s="4">
        <v>78.92</v>
      </c>
      <c r="E77" s="4">
        <v>1.79</v>
      </c>
      <c r="F77" s="3" t="s">
        <v>12</v>
      </c>
      <c r="G77" s="3" t="s">
        <v>13</v>
      </c>
      <c r="H77" s="5">
        <f t="shared" si="7"/>
        <v>24.63094161</v>
      </c>
      <c r="I77" s="5" t="str">
        <f t="array" ref="I77">XLOOKUP(A77,protein_data!A:A,protein_data!B:B,"")</f>
        <v>NA</v>
      </c>
      <c r="J77" s="5" t="str">
        <f t="shared" si="8"/>
        <v>Non-Responder</v>
      </c>
    </row>
    <row r="78" ht="22.5" customHeight="1">
      <c r="A78" s="3" t="s">
        <v>93</v>
      </c>
      <c r="B78" s="4">
        <v>63.0</v>
      </c>
      <c r="C78" s="3" t="s">
        <v>21</v>
      </c>
      <c r="D78" s="4">
        <v>103.51</v>
      </c>
      <c r="E78" s="4">
        <v>1.79</v>
      </c>
      <c r="F78" s="3" t="s">
        <v>17</v>
      </c>
      <c r="G78" s="3" t="s">
        <v>15</v>
      </c>
      <c r="H78" s="5">
        <f t="shared" si="7"/>
        <v>32.3054836</v>
      </c>
      <c r="I78" s="5">
        <f t="array" ref="I78">XLOOKUP(A78,protein_data!A:A,protein_data!B:B,"")</f>
        <v>62</v>
      </c>
      <c r="J78" s="5" t="str">
        <f t="shared" si="8"/>
        <v>Responder</v>
      </c>
    </row>
    <row r="79" ht="22.5" customHeight="1">
      <c r="A79" s="3" t="s">
        <v>94</v>
      </c>
      <c r="B79" s="4">
        <v>56.0</v>
      </c>
      <c r="C79" s="3" t="s">
        <v>11</v>
      </c>
      <c r="D79" s="4">
        <v>95.92</v>
      </c>
      <c r="E79" s="4">
        <v>1.6</v>
      </c>
      <c r="F79" s="3" t="s">
        <v>12</v>
      </c>
      <c r="G79" s="3" t="s">
        <v>15</v>
      </c>
      <c r="H79" s="5">
        <f t="shared" si="7"/>
        <v>37.46875</v>
      </c>
      <c r="I79" s="5">
        <f t="array" ref="I79">XLOOKUP(A79,protein_data!A:A,protein_data!B:B,"")</f>
        <v>95</v>
      </c>
      <c r="J79" s="5" t="str">
        <f t="shared" si="8"/>
        <v>Responder</v>
      </c>
    </row>
    <row r="80" ht="22.5" customHeight="1">
      <c r="A80" s="3" t="s">
        <v>95</v>
      </c>
      <c r="B80" s="4">
        <v>62.0</v>
      </c>
      <c r="C80" s="3" t="s">
        <v>21</v>
      </c>
      <c r="D80" s="4">
        <v>125.43</v>
      </c>
      <c r="E80" s="4">
        <v>1.71</v>
      </c>
      <c r="F80" s="3" t="s">
        <v>12</v>
      </c>
      <c r="G80" s="3" t="s">
        <v>15</v>
      </c>
      <c r="H80" s="5">
        <f t="shared" si="7"/>
        <v>42.89524982</v>
      </c>
      <c r="I80" s="5">
        <f t="array" ref="I80">XLOOKUP(A80,protein_data!A:A,protein_data!B:B,"")</f>
        <v>131</v>
      </c>
      <c r="J80" s="5" t="str">
        <f t="shared" si="8"/>
        <v>Responder</v>
      </c>
    </row>
    <row r="81" ht="22.5" customHeight="1">
      <c r="A81" s="3" t="s">
        <v>96</v>
      </c>
      <c r="B81" s="4">
        <v>64.0</v>
      </c>
      <c r="C81" s="3" t="s">
        <v>11</v>
      </c>
      <c r="D81" s="4">
        <v>59.31</v>
      </c>
      <c r="E81" s="4">
        <v>1.54</v>
      </c>
      <c r="F81" s="3" t="s">
        <v>17</v>
      </c>
      <c r="G81" s="3" t="s">
        <v>13</v>
      </c>
      <c r="H81" s="5">
        <f t="shared" si="7"/>
        <v>25.00843313</v>
      </c>
      <c r="I81" s="5">
        <f t="array" ref="I81">XLOOKUP(A81,protein_data!A:A,protein_data!B:B,"")</f>
        <v>112</v>
      </c>
      <c r="J81" s="5" t="str">
        <f t="shared" si="8"/>
        <v>Non-Responder</v>
      </c>
    </row>
    <row r="82" ht="22.5" customHeight="1">
      <c r="A82" s="3" t="s">
        <v>97</v>
      </c>
      <c r="B82" s="4">
        <v>68.0</v>
      </c>
      <c r="C82" s="3" t="s">
        <v>11</v>
      </c>
      <c r="D82" s="4">
        <v>54.54</v>
      </c>
      <c r="E82" s="4">
        <v>1.56</v>
      </c>
      <c r="F82" s="3" t="s">
        <v>17</v>
      </c>
      <c r="G82" s="3" t="s">
        <v>13</v>
      </c>
      <c r="H82" s="5">
        <f t="shared" si="7"/>
        <v>22.4112426</v>
      </c>
      <c r="I82" s="5">
        <f t="array" ref="I82">XLOOKUP(A82,protein_data!A:A,protein_data!B:B,"")</f>
        <v>113</v>
      </c>
      <c r="J82" s="5" t="str">
        <f t="shared" si="8"/>
        <v>Non-Responder</v>
      </c>
    </row>
    <row r="83" ht="22.5" hidden="1" customHeight="1">
      <c r="A83" s="3" t="s">
        <v>98</v>
      </c>
      <c r="B83" s="4">
        <v>65.0</v>
      </c>
      <c r="C83" s="3" t="s">
        <v>21</v>
      </c>
      <c r="D83" s="3" t="s">
        <v>26</v>
      </c>
      <c r="E83" s="4">
        <v>1.78</v>
      </c>
      <c r="F83" s="3" t="s">
        <v>17</v>
      </c>
      <c r="G83" s="3" t="s">
        <v>13</v>
      </c>
      <c r="H83" s="5"/>
      <c r="I83" s="5"/>
      <c r="J83" s="5"/>
    </row>
    <row r="84" ht="22.5" customHeight="1">
      <c r="A84" s="3" t="s">
        <v>99</v>
      </c>
      <c r="B84" s="4">
        <v>58.0</v>
      </c>
      <c r="C84" s="3" t="s">
        <v>11</v>
      </c>
      <c r="D84" s="4">
        <v>75.98</v>
      </c>
      <c r="E84" s="4">
        <v>1.61</v>
      </c>
      <c r="F84" s="3" t="s">
        <v>17</v>
      </c>
      <c r="G84" s="3" t="s">
        <v>15</v>
      </c>
      <c r="H84" s="5">
        <f t="shared" ref="H84:H146" si="9">(D84)/(E84^2)</f>
        <v>29.31214074</v>
      </c>
      <c r="I84" s="5">
        <f t="array" ref="I84">XLOOKUP(A84,protein_data!A:A,protein_data!B:B,"")</f>
        <v>83</v>
      </c>
      <c r="J84" s="5" t="str">
        <f t="shared" ref="J84:J146" si="10">if(G84="y","Responder","Non-Responder")</f>
        <v>Responder</v>
      </c>
    </row>
    <row r="85" ht="22.5" customHeight="1">
      <c r="A85" s="3" t="s">
        <v>100</v>
      </c>
      <c r="B85" s="4">
        <v>62.0</v>
      </c>
      <c r="C85" s="3" t="s">
        <v>11</v>
      </c>
      <c r="D85" s="4">
        <v>66.21</v>
      </c>
      <c r="E85" s="4">
        <v>1.64</v>
      </c>
      <c r="F85" s="3" t="s">
        <v>12</v>
      </c>
      <c r="G85" s="3" t="s">
        <v>15</v>
      </c>
      <c r="H85" s="5">
        <f t="shared" si="9"/>
        <v>24.61704343</v>
      </c>
      <c r="I85" s="5">
        <f t="array" ref="I85">XLOOKUP(A85,protein_data!A:A,protein_data!B:B,"")</f>
        <v>101</v>
      </c>
      <c r="J85" s="5" t="str">
        <f t="shared" si="10"/>
        <v>Responder</v>
      </c>
    </row>
    <row r="86" ht="22.5" customHeight="1">
      <c r="A86" s="3" t="s">
        <v>101</v>
      </c>
      <c r="B86" s="4">
        <v>60.0</v>
      </c>
      <c r="C86" s="3" t="s">
        <v>11</v>
      </c>
      <c r="D86" s="4">
        <v>125.41</v>
      </c>
      <c r="E86" s="4">
        <v>1.6</v>
      </c>
      <c r="F86" s="3" t="s">
        <v>17</v>
      </c>
      <c r="G86" s="3" t="s">
        <v>13</v>
      </c>
      <c r="H86" s="5">
        <f t="shared" si="9"/>
        <v>48.98828125</v>
      </c>
      <c r="I86" s="5">
        <f t="array" ref="I86">XLOOKUP(A86,protein_data!A:A,protein_data!B:B,"")</f>
        <v>137</v>
      </c>
      <c r="J86" s="5" t="str">
        <f t="shared" si="10"/>
        <v>Non-Responder</v>
      </c>
    </row>
    <row r="87" ht="22.5" customHeight="1">
      <c r="A87" s="3" t="s">
        <v>102</v>
      </c>
      <c r="B87" s="4">
        <v>58.0</v>
      </c>
      <c r="C87" s="3" t="s">
        <v>21</v>
      </c>
      <c r="D87" s="4">
        <v>100.1</v>
      </c>
      <c r="E87" s="4">
        <v>1.77</v>
      </c>
      <c r="F87" s="3" t="s">
        <v>17</v>
      </c>
      <c r="G87" s="3" t="s">
        <v>13</v>
      </c>
      <c r="H87" s="5">
        <f t="shared" si="9"/>
        <v>31.9512273</v>
      </c>
      <c r="I87" s="5">
        <f t="array" ref="I87">XLOOKUP(A87,protein_data!A:A,protein_data!B:B,"")</f>
        <v>110</v>
      </c>
      <c r="J87" s="5" t="str">
        <f t="shared" si="10"/>
        <v>Non-Responder</v>
      </c>
    </row>
    <row r="88" ht="22.5" customHeight="1">
      <c r="A88" s="3" t="s">
        <v>103</v>
      </c>
      <c r="B88" s="4">
        <v>61.0</v>
      </c>
      <c r="C88" s="3" t="s">
        <v>21</v>
      </c>
      <c r="D88" s="4">
        <v>107.75</v>
      </c>
      <c r="E88" s="4">
        <v>1.72</v>
      </c>
      <c r="F88" s="3" t="s">
        <v>17</v>
      </c>
      <c r="G88" s="3" t="s">
        <v>13</v>
      </c>
      <c r="H88" s="5">
        <f t="shared" si="9"/>
        <v>36.42171444</v>
      </c>
      <c r="I88" s="5">
        <f t="array" ref="I88">XLOOKUP(A88,protein_data!A:A,protein_data!B:B,"")</f>
        <v>106</v>
      </c>
      <c r="J88" s="5" t="str">
        <f t="shared" si="10"/>
        <v>Non-Responder</v>
      </c>
    </row>
    <row r="89" ht="22.5" customHeight="1">
      <c r="A89" s="3" t="s">
        <v>104</v>
      </c>
      <c r="B89" s="4">
        <v>59.0</v>
      </c>
      <c r="C89" s="3" t="s">
        <v>11</v>
      </c>
      <c r="D89" s="4">
        <v>94.54</v>
      </c>
      <c r="E89" s="4">
        <v>1.57</v>
      </c>
      <c r="F89" s="3" t="s">
        <v>12</v>
      </c>
      <c r="G89" s="3" t="s">
        <v>15</v>
      </c>
      <c r="H89" s="5">
        <f t="shared" si="9"/>
        <v>38.35449714</v>
      </c>
      <c r="I89" s="5">
        <f t="array" ref="I89">XLOOKUP(A89,protein_data!A:A,protein_data!B:B,"")</f>
        <v>100</v>
      </c>
      <c r="J89" s="5" t="str">
        <f t="shared" si="10"/>
        <v>Responder</v>
      </c>
    </row>
    <row r="90" ht="22.5" customHeight="1">
      <c r="A90" s="3" t="s">
        <v>105</v>
      </c>
      <c r="B90" s="4">
        <v>62.0</v>
      </c>
      <c r="C90" s="3" t="s">
        <v>21</v>
      </c>
      <c r="D90" s="4">
        <v>101.64</v>
      </c>
      <c r="E90" s="4">
        <v>1.66</v>
      </c>
      <c r="F90" s="3" t="s">
        <v>17</v>
      </c>
      <c r="G90" s="3" t="s">
        <v>13</v>
      </c>
      <c r="H90" s="5">
        <f t="shared" si="9"/>
        <v>36.88488895</v>
      </c>
      <c r="I90" s="5">
        <f t="array" ref="I90">XLOOKUP(A90,protein_data!A:A,protein_data!B:B,"")</f>
        <v>136</v>
      </c>
      <c r="J90" s="5" t="str">
        <f t="shared" si="10"/>
        <v>Non-Responder</v>
      </c>
    </row>
    <row r="91" ht="22.5" customHeight="1">
      <c r="A91" s="3" t="s">
        <v>106</v>
      </c>
      <c r="B91" s="4">
        <v>79.0</v>
      </c>
      <c r="C91" s="3" t="s">
        <v>11</v>
      </c>
      <c r="D91" s="4">
        <v>64.07</v>
      </c>
      <c r="E91" s="4">
        <v>1.55</v>
      </c>
      <c r="F91" s="3" t="s">
        <v>17</v>
      </c>
      <c r="G91" s="3" t="s">
        <v>13</v>
      </c>
      <c r="H91" s="5">
        <f t="shared" si="9"/>
        <v>26.66805411</v>
      </c>
      <c r="I91" s="5">
        <f t="array" ref="I91">XLOOKUP(A91,protein_data!A:A,protein_data!B:B,"")</f>
        <v>107</v>
      </c>
      <c r="J91" s="5" t="str">
        <f t="shared" si="10"/>
        <v>Non-Responder</v>
      </c>
    </row>
    <row r="92" ht="22.5" customHeight="1">
      <c r="A92" s="3" t="s">
        <v>107</v>
      </c>
      <c r="B92" s="4">
        <v>48.0</v>
      </c>
      <c r="C92" s="3" t="s">
        <v>21</v>
      </c>
      <c r="D92" s="4">
        <v>55.68</v>
      </c>
      <c r="E92" s="4">
        <v>1.71</v>
      </c>
      <c r="F92" s="3" t="s">
        <v>17</v>
      </c>
      <c r="G92" s="3" t="s">
        <v>15</v>
      </c>
      <c r="H92" s="5">
        <f t="shared" si="9"/>
        <v>19.04175644</v>
      </c>
      <c r="I92" s="5">
        <f t="array" ref="I92">XLOOKUP(A92,protein_data!A:A,protein_data!B:B,"")</f>
        <v>80</v>
      </c>
      <c r="J92" s="5" t="str">
        <f t="shared" si="10"/>
        <v>Responder</v>
      </c>
    </row>
    <row r="93" ht="22.5" customHeight="1">
      <c r="A93" s="3" t="s">
        <v>108</v>
      </c>
      <c r="B93" s="4">
        <v>79.0</v>
      </c>
      <c r="C93" s="3" t="s">
        <v>11</v>
      </c>
      <c r="D93" s="4">
        <v>79.34</v>
      </c>
      <c r="E93" s="4">
        <v>1.57</v>
      </c>
      <c r="F93" s="3" t="s">
        <v>17</v>
      </c>
      <c r="G93" s="3" t="s">
        <v>15</v>
      </c>
      <c r="H93" s="5">
        <f t="shared" si="9"/>
        <v>32.18791837</v>
      </c>
      <c r="I93" s="5">
        <f t="array" ref="I93">XLOOKUP(A93,protein_data!A:A,protein_data!B:B,"")</f>
        <v>123</v>
      </c>
      <c r="J93" s="5" t="str">
        <f t="shared" si="10"/>
        <v>Responder</v>
      </c>
    </row>
    <row r="94" ht="22.5" customHeight="1">
      <c r="A94" s="3" t="s">
        <v>109</v>
      </c>
      <c r="B94" s="4">
        <v>56.0</v>
      </c>
      <c r="C94" s="3" t="s">
        <v>11</v>
      </c>
      <c r="D94" s="4">
        <v>107.32</v>
      </c>
      <c r="E94" s="4">
        <v>1.52</v>
      </c>
      <c r="F94" s="3" t="s">
        <v>17</v>
      </c>
      <c r="G94" s="3" t="s">
        <v>15</v>
      </c>
      <c r="H94" s="5">
        <f t="shared" si="9"/>
        <v>46.45083102</v>
      </c>
      <c r="I94" s="5">
        <f t="array" ref="I94">XLOOKUP(A94,protein_data!A:A,protein_data!B:B,"")</f>
        <v>81</v>
      </c>
      <c r="J94" s="5" t="str">
        <f t="shared" si="10"/>
        <v>Responder</v>
      </c>
    </row>
    <row r="95" ht="22.5" customHeight="1">
      <c r="A95" s="3" t="s">
        <v>110</v>
      </c>
      <c r="B95" s="4">
        <v>66.0</v>
      </c>
      <c r="C95" s="3" t="s">
        <v>11</v>
      </c>
      <c r="D95" s="4">
        <v>53.31</v>
      </c>
      <c r="E95" s="4">
        <v>1.5</v>
      </c>
      <c r="F95" s="3" t="s">
        <v>12</v>
      </c>
      <c r="G95" s="3" t="s">
        <v>13</v>
      </c>
      <c r="H95" s="5">
        <f t="shared" si="9"/>
        <v>23.69333333</v>
      </c>
      <c r="I95" s="5">
        <f t="array" ref="I95">XLOOKUP(A95,protein_data!A:A,protein_data!B:B,"")</f>
        <v>134</v>
      </c>
      <c r="J95" s="5" t="str">
        <f t="shared" si="10"/>
        <v>Non-Responder</v>
      </c>
    </row>
    <row r="96" ht="22.5" customHeight="1">
      <c r="A96" s="3" t="s">
        <v>111</v>
      </c>
      <c r="B96" s="4">
        <v>68.0</v>
      </c>
      <c r="C96" s="3" t="s">
        <v>11</v>
      </c>
      <c r="D96" s="4">
        <v>75.06</v>
      </c>
      <c r="E96" s="4">
        <v>1.74</v>
      </c>
      <c r="F96" s="3" t="s">
        <v>17</v>
      </c>
      <c r="G96" s="3" t="s">
        <v>15</v>
      </c>
      <c r="H96" s="5">
        <f t="shared" si="9"/>
        <v>24.79191439</v>
      </c>
      <c r="I96" s="5">
        <f t="array" ref="I96">XLOOKUP(A96,protein_data!A:A,protein_data!B:B,"")</f>
        <v>142</v>
      </c>
      <c r="J96" s="5" t="str">
        <f t="shared" si="10"/>
        <v>Responder</v>
      </c>
    </row>
    <row r="97" ht="22.5" customHeight="1">
      <c r="A97" s="3" t="s">
        <v>112</v>
      </c>
      <c r="B97" s="4">
        <v>55.0</v>
      </c>
      <c r="C97" s="3" t="s">
        <v>21</v>
      </c>
      <c r="D97" s="4">
        <v>102.94</v>
      </c>
      <c r="E97" s="4">
        <v>1.75</v>
      </c>
      <c r="F97" s="3" t="s">
        <v>17</v>
      </c>
      <c r="G97" s="3" t="s">
        <v>13</v>
      </c>
      <c r="H97" s="5">
        <f t="shared" si="9"/>
        <v>33.61306122</v>
      </c>
      <c r="I97" s="5">
        <f t="array" ref="I97">XLOOKUP(A97,protein_data!A:A,protein_data!B:B,"")</f>
        <v>144</v>
      </c>
      <c r="J97" s="5" t="str">
        <f t="shared" si="10"/>
        <v>Non-Responder</v>
      </c>
    </row>
    <row r="98" ht="22.5" customHeight="1">
      <c r="A98" s="3" t="s">
        <v>113</v>
      </c>
      <c r="B98" s="4">
        <v>69.0</v>
      </c>
      <c r="C98" s="3" t="s">
        <v>11</v>
      </c>
      <c r="D98" s="4">
        <v>91.76</v>
      </c>
      <c r="E98" s="4">
        <v>1.7</v>
      </c>
      <c r="F98" s="3" t="s">
        <v>12</v>
      </c>
      <c r="G98" s="3" t="s">
        <v>15</v>
      </c>
      <c r="H98" s="5">
        <f t="shared" si="9"/>
        <v>31.75086505</v>
      </c>
      <c r="I98" s="5">
        <f t="array" ref="I98">XLOOKUP(A98,protein_data!A:A,protein_data!B:B,"")</f>
        <v>92</v>
      </c>
      <c r="J98" s="5" t="str">
        <f t="shared" si="10"/>
        <v>Responder</v>
      </c>
    </row>
    <row r="99" ht="22.5" customHeight="1">
      <c r="A99" s="3" t="s">
        <v>114</v>
      </c>
      <c r="B99" s="4">
        <v>68.0</v>
      </c>
      <c r="C99" s="3" t="s">
        <v>21</v>
      </c>
      <c r="D99" s="4">
        <v>64.55</v>
      </c>
      <c r="E99" s="4">
        <v>1.79</v>
      </c>
      <c r="F99" s="3" t="s">
        <v>12</v>
      </c>
      <c r="G99" s="3" t="s">
        <v>15</v>
      </c>
      <c r="H99" s="5">
        <f t="shared" si="9"/>
        <v>20.14606286</v>
      </c>
      <c r="I99" s="5">
        <f t="array" ref="I99">XLOOKUP(A99,protein_data!A:A,protein_data!B:B,"")</f>
        <v>71</v>
      </c>
      <c r="J99" s="5" t="str">
        <f t="shared" si="10"/>
        <v>Responder</v>
      </c>
    </row>
    <row r="100" ht="22.5" customHeight="1">
      <c r="A100" s="3" t="s">
        <v>115</v>
      </c>
      <c r="B100" s="4">
        <v>77.0</v>
      </c>
      <c r="C100" s="3" t="s">
        <v>11</v>
      </c>
      <c r="D100" s="4">
        <v>78.76</v>
      </c>
      <c r="E100" s="4">
        <v>1.66</v>
      </c>
      <c r="F100" s="3" t="s">
        <v>12</v>
      </c>
      <c r="G100" s="3" t="s">
        <v>15</v>
      </c>
      <c r="H100" s="5">
        <f t="shared" si="9"/>
        <v>28.58179707</v>
      </c>
      <c r="I100" s="5">
        <f t="array" ref="I100">XLOOKUP(A100,protein_data!A:A,protein_data!B:B,"")</f>
        <v>93</v>
      </c>
      <c r="J100" s="5" t="str">
        <f t="shared" si="10"/>
        <v>Responder</v>
      </c>
    </row>
    <row r="101" ht="22.5" customHeight="1">
      <c r="A101" s="3" t="s">
        <v>116</v>
      </c>
      <c r="B101" s="4">
        <v>66.0</v>
      </c>
      <c r="C101" s="3" t="s">
        <v>11</v>
      </c>
      <c r="D101" s="4">
        <v>127.34</v>
      </c>
      <c r="E101" s="4">
        <v>1.6</v>
      </c>
      <c r="F101" s="3" t="s">
        <v>12</v>
      </c>
      <c r="G101" s="3" t="s">
        <v>15</v>
      </c>
      <c r="H101" s="5">
        <f t="shared" si="9"/>
        <v>49.7421875</v>
      </c>
      <c r="I101" s="5">
        <f t="array" ref="I101">XLOOKUP(A101,protein_data!A:A,protein_data!B:B,"")</f>
        <v>122</v>
      </c>
      <c r="J101" s="5" t="str">
        <f t="shared" si="10"/>
        <v>Responder</v>
      </c>
    </row>
    <row r="102" ht="22.5" customHeight="1">
      <c r="A102" s="3" t="s">
        <v>117</v>
      </c>
      <c r="B102" s="4">
        <v>57.0</v>
      </c>
      <c r="C102" s="3" t="s">
        <v>21</v>
      </c>
      <c r="D102" s="4">
        <v>110.75</v>
      </c>
      <c r="E102" s="4">
        <v>1.69</v>
      </c>
      <c r="F102" s="3" t="s">
        <v>12</v>
      </c>
      <c r="G102" s="3" t="s">
        <v>13</v>
      </c>
      <c r="H102" s="5">
        <f t="shared" si="9"/>
        <v>38.77665348</v>
      </c>
      <c r="I102" s="5">
        <f t="array" ref="I102">XLOOKUP(A102,protein_data!A:A,protein_data!B:B,"")</f>
        <v>163</v>
      </c>
      <c r="J102" s="5" t="str">
        <f t="shared" si="10"/>
        <v>Non-Responder</v>
      </c>
    </row>
    <row r="103" ht="22.5" customHeight="1">
      <c r="A103" s="3" t="s">
        <v>118</v>
      </c>
      <c r="B103" s="4">
        <v>56.0</v>
      </c>
      <c r="C103" s="3" t="s">
        <v>21</v>
      </c>
      <c r="D103" s="4">
        <v>75.01</v>
      </c>
      <c r="E103" s="4">
        <v>1.7</v>
      </c>
      <c r="F103" s="3" t="s">
        <v>17</v>
      </c>
      <c r="G103" s="3" t="s">
        <v>13</v>
      </c>
      <c r="H103" s="5">
        <f t="shared" si="9"/>
        <v>25.9550173</v>
      </c>
      <c r="I103" s="5">
        <f t="array" ref="I103">XLOOKUP(A103,protein_data!A:A,protein_data!B:B,"")</f>
        <v>151</v>
      </c>
      <c r="J103" s="5" t="str">
        <f t="shared" si="10"/>
        <v>Non-Responder</v>
      </c>
    </row>
    <row r="104" ht="22.5" customHeight="1">
      <c r="A104" s="3" t="s">
        <v>119</v>
      </c>
      <c r="B104" s="4">
        <v>65.0</v>
      </c>
      <c r="C104" s="3" t="s">
        <v>21</v>
      </c>
      <c r="D104" s="4">
        <v>68.01</v>
      </c>
      <c r="E104" s="4">
        <v>1.75</v>
      </c>
      <c r="F104" s="3" t="s">
        <v>17</v>
      </c>
      <c r="G104" s="3" t="s">
        <v>13</v>
      </c>
      <c r="H104" s="5">
        <f t="shared" si="9"/>
        <v>22.20734694</v>
      </c>
      <c r="I104" s="5">
        <f t="array" ref="I104">XLOOKUP(A104,protein_data!A:A,protein_data!B:B,"")</f>
        <v>125</v>
      </c>
      <c r="J104" s="5" t="str">
        <f t="shared" si="10"/>
        <v>Non-Responder</v>
      </c>
    </row>
    <row r="105" ht="22.5" customHeight="1">
      <c r="A105" s="3" t="s">
        <v>120</v>
      </c>
      <c r="B105" s="4">
        <v>56.0</v>
      </c>
      <c r="C105" s="3" t="s">
        <v>21</v>
      </c>
      <c r="D105" s="4">
        <v>75.94</v>
      </c>
      <c r="E105" s="4">
        <v>1.7</v>
      </c>
      <c r="F105" s="3" t="s">
        <v>17</v>
      </c>
      <c r="G105" s="3" t="s">
        <v>13</v>
      </c>
      <c r="H105" s="5">
        <f t="shared" si="9"/>
        <v>26.27681661</v>
      </c>
      <c r="I105" s="5">
        <f t="array" ref="I105">XLOOKUP(A105,protein_data!A:A,protein_data!B:B,"")</f>
        <v>81</v>
      </c>
      <c r="J105" s="5" t="str">
        <f t="shared" si="10"/>
        <v>Non-Responder</v>
      </c>
    </row>
    <row r="106" ht="22.5" customHeight="1">
      <c r="A106" s="3" t="s">
        <v>121</v>
      </c>
      <c r="B106" s="4">
        <v>60.0</v>
      </c>
      <c r="C106" s="3" t="s">
        <v>11</v>
      </c>
      <c r="D106" s="4">
        <v>96.18</v>
      </c>
      <c r="E106" s="4">
        <v>1.56</v>
      </c>
      <c r="F106" s="3" t="s">
        <v>12</v>
      </c>
      <c r="G106" s="3" t="s">
        <v>15</v>
      </c>
      <c r="H106" s="5">
        <f t="shared" si="9"/>
        <v>39.52169625</v>
      </c>
      <c r="I106" s="5">
        <f t="array" ref="I106">XLOOKUP(A106,protein_data!A:A,protein_data!B:B,"")</f>
        <v>85</v>
      </c>
      <c r="J106" s="5" t="str">
        <f t="shared" si="10"/>
        <v>Responder</v>
      </c>
    </row>
    <row r="107" ht="22.5" customHeight="1">
      <c r="A107" s="3" t="s">
        <v>122</v>
      </c>
      <c r="B107" s="4">
        <v>64.0</v>
      </c>
      <c r="C107" s="3" t="s">
        <v>21</v>
      </c>
      <c r="D107" s="4">
        <v>91.12</v>
      </c>
      <c r="E107" s="4">
        <v>1.79</v>
      </c>
      <c r="F107" s="3" t="s">
        <v>17</v>
      </c>
      <c r="G107" s="3" t="s">
        <v>15</v>
      </c>
      <c r="H107" s="5">
        <f t="shared" si="9"/>
        <v>28.43856309</v>
      </c>
      <c r="I107" s="5">
        <f t="array" ref="I107">XLOOKUP(A107,protein_data!A:A,protein_data!B:B,"")</f>
        <v>126</v>
      </c>
      <c r="J107" s="5" t="str">
        <f t="shared" si="10"/>
        <v>Responder</v>
      </c>
    </row>
    <row r="108" ht="22.5" customHeight="1">
      <c r="A108" s="3" t="s">
        <v>123</v>
      </c>
      <c r="B108" s="4">
        <v>68.0</v>
      </c>
      <c r="C108" s="3" t="s">
        <v>21</v>
      </c>
      <c r="D108" s="4">
        <v>63.53</v>
      </c>
      <c r="E108" s="4">
        <v>1.69</v>
      </c>
      <c r="F108" s="3" t="s">
        <v>17</v>
      </c>
      <c r="G108" s="3" t="s">
        <v>15</v>
      </c>
      <c r="H108" s="5">
        <f t="shared" si="9"/>
        <v>22.24361892</v>
      </c>
      <c r="I108" s="5">
        <f t="array" ref="I108">XLOOKUP(A108,protein_data!A:A,protein_data!B:B,"")</f>
        <v>96</v>
      </c>
      <c r="J108" s="5" t="str">
        <f t="shared" si="10"/>
        <v>Responder</v>
      </c>
    </row>
    <row r="109" ht="22.5" customHeight="1">
      <c r="A109" s="3" t="s">
        <v>124</v>
      </c>
      <c r="B109" s="4">
        <v>72.0</v>
      </c>
      <c r="C109" s="3" t="s">
        <v>21</v>
      </c>
      <c r="D109" s="4">
        <v>91.51</v>
      </c>
      <c r="E109" s="4">
        <v>1.77</v>
      </c>
      <c r="F109" s="3" t="s">
        <v>12</v>
      </c>
      <c r="G109" s="3" t="s">
        <v>13</v>
      </c>
      <c r="H109" s="5">
        <f t="shared" si="9"/>
        <v>29.20935874</v>
      </c>
      <c r="I109" s="5">
        <f t="array" ref="I109">XLOOKUP(A109,protein_data!A:A,protein_data!B:B,"")</f>
        <v>144</v>
      </c>
      <c r="J109" s="5" t="str">
        <f t="shared" si="10"/>
        <v>Non-Responder</v>
      </c>
    </row>
    <row r="110" ht="22.5" customHeight="1">
      <c r="A110" s="3" t="s">
        <v>125</v>
      </c>
      <c r="B110" s="4">
        <v>77.0</v>
      </c>
      <c r="C110" s="3" t="s">
        <v>11</v>
      </c>
      <c r="D110" s="4">
        <v>84.44</v>
      </c>
      <c r="E110" s="4">
        <v>1.57</v>
      </c>
      <c r="F110" s="3" t="s">
        <v>17</v>
      </c>
      <c r="G110" s="3" t="s">
        <v>15</v>
      </c>
      <c r="H110" s="5">
        <f t="shared" si="9"/>
        <v>34.25696783</v>
      </c>
      <c r="I110" s="5">
        <f t="array" ref="I110">XLOOKUP(A110,protein_data!A:A,protein_data!B:B,"")</f>
        <v>83</v>
      </c>
      <c r="J110" s="5" t="str">
        <f t="shared" si="10"/>
        <v>Responder</v>
      </c>
    </row>
    <row r="111" ht="22.5" customHeight="1">
      <c r="A111" s="3" t="s">
        <v>126</v>
      </c>
      <c r="B111" s="4">
        <v>58.0</v>
      </c>
      <c r="C111" s="3" t="s">
        <v>11</v>
      </c>
      <c r="D111" s="4">
        <v>102.99</v>
      </c>
      <c r="E111" s="4">
        <v>1.66</v>
      </c>
      <c r="F111" s="3" t="s">
        <v>17</v>
      </c>
      <c r="G111" s="3" t="s">
        <v>15</v>
      </c>
      <c r="H111" s="5">
        <f t="shared" si="9"/>
        <v>37.37480041</v>
      </c>
      <c r="I111" s="5">
        <f t="array" ref="I111">XLOOKUP(A111,protein_data!A:A,protein_data!B:B,"")</f>
        <v>95</v>
      </c>
      <c r="J111" s="5" t="str">
        <f t="shared" si="10"/>
        <v>Responder</v>
      </c>
    </row>
    <row r="112" ht="22.5" customHeight="1">
      <c r="A112" s="3" t="s">
        <v>127</v>
      </c>
      <c r="B112" s="4">
        <v>61.0</v>
      </c>
      <c r="C112" s="3" t="s">
        <v>21</v>
      </c>
      <c r="D112" s="4">
        <v>96.22</v>
      </c>
      <c r="E112" s="4">
        <v>1.71</v>
      </c>
      <c r="F112" s="3" t="s">
        <v>17</v>
      </c>
      <c r="G112" s="3" t="s">
        <v>13</v>
      </c>
      <c r="H112" s="5">
        <f t="shared" si="9"/>
        <v>32.90585137</v>
      </c>
      <c r="I112" s="5">
        <f t="array" ref="I112">XLOOKUP(A112,protein_data!A:A,protein_data!B:B,"")</f>
        <v>171</v>
      </c>
      <c r="J112" s="5" t="str">
        <f t="shared" si="10"/>
        <v>Non-Responder</v>
      </c>
    </row>
    <row r="113" ht="22.5" customHeight="1">
      <c r="A113" s="3" t="s">
        <v>128</v>
      </c>
      <c r="B113" s="4">
        <v>52.0</v>
      </c>
      <c r="C113" s="3" t="s">
        <v>11</v>
      </c>
      <c r="D113" s="4">
        <v>78.45</v>
      </c>
      <c r="E113" s="4">
        <v>1.52</v>
      </c>
      <c r="F113" s="3" t="s">
        <v>12</v>
      </c>
      <c r="G113" s="3" t="s">
        <v>13</v>
      </c>
      <c r="H113" s="5">
        <f t="shared" si="9"/>
        <v>33.95515928</v>
      </c>
      <c r="I113" s="5">
        <f t="array" ref="I113">XLOOKUP(A113,protein_data!A:A,protein_data!B:B,"")</f>
        <v>155</v>
      </c>
      <c r="J113" s="5" t="str">
        <f t="shared" si="10"/>
        <v>Non-Responder</v>
      </c>
    </row>
    <row r="114" ht="22.5" customHeight="1">
      <c r="A114" s="3" t="s">
        <v>129</v>
      </c>
      <c r="B114" s="4">
        <v>47.0</v>
      </c>
      <c r="C114" s="3" t="s">
        <v>11</v>
      </c>
      <c r="D114" s="4">
        <v>79.99</v>
      </c>
      <c r="E114" s="4">
        <v>1.6</v>
      </c>
      <c r="F114" s="3" t="s">
        <v>12</v>
      </c>
      <c r="G114" s="3" t="s">
        <v>15</v>
      </c>
      <c r="H114" s="5">
        <f t="shared" si="9"/>
        <v>31.24609375</v>
      </c>
      <c r="I114" s="5">
        <f t="array" ref="I114">XLOOKUP(A114,protein_data!A:A,protein_data!B:B,"")</f>
        <v>89</v>
      </c>
      <c r="J114" s="5" t="str">
        <f t="shared" si="10"/>
        <v>Responder</v>
      </c>
    </row>
    <row r="115" ht="22.5" customHeight="1">
      <c r="A115" s="3" t="s">
        <v>130</v>
      </c>
      <c r="B115" s="4">
        <v>64.0</v>
      </c>
      <c r="C115" s="3" t="s">
        <v>21</v>
      </c>
      <c r="D115" s="4">
        <v>111.43</v>
      </c>
      <c r="E115" s="4">
        <v>1.82</v>
      </c>
      <c r="F115" s="3" t="s">
        <v>17</v>
      </c>
      <c r="G115" s="3" t="s">
        <v>15</v>
      </c>
      <c r="H115" s="5">
        <f t="shared" si="9"/>
        <v>33.64026084</v>
      </c>
      <c r="I115" s="5">
        <f t="array" ref="I115">XLOOKUP(A115,protein_data!A:A,protein_data!B:B,"")</f>
        <v>76</v>
      </c>
      <c r="J115" s="5" t="str">
        <f t="shared" si="10"/>
        <v>Responder</v>
      </c>
    </row>
    <row r="116" ht="22.5" customHeight="1">
      <c r="A116" s="3" t="s">
        <v>131</v>
      </c>
      <c r="B116" s="4">
        <v>70.0</v>
      </c>
      <c r="C116" s="3" t="s">
        <v>21</v>
      </c>
      <c r="D116" s="4">
        <v>100.6</v>
      </c>
      <c r="E116" s="4">
        <v>1.82</v>
      </c>
      <c r="F116" s="3" t="s">
        <v>17</v>
      </c>
      <c r="G116" s="3" t="s">
        <v>13</v>
      </c>
      <c r="H116" s="5">
        <f t="shared" si="9"/>
        <v>30.37072817</v>
      </c>
      <c r="I116" s="5">
        <f t="array" ref="I116">XLOOKUP(A116,protein_data!A:A,protein_data!B:B,"")</f>
        <v>160</v>
      </c>
      <c r="J116" s="5" t="str">
        <f t="shared" si="10"/>
        <v>Non-Responder</v>
      </c>
    </row>
    <row r="117" ht="22.5" customHeight="1">
      <c r="A117" s="3" t="s">
        <v>132</v>
      </c>
      <c r="B117" s="4">
        <v>62.0</v>
      </c>
      <c r="C117" s="3" t="s">
        <v>11</v>
      </c>
      <c r="D117" s="4">
        <v>77.22</v>
      </c>
      <c r="E117" s="4">
        <v>1.57</v>
      </c>
      <c r="F117" s="3" t="s">
        <v>17</v>
      </c>
      <c r="G117" s="3" t="s">
        <v>13</v>
      </c>
      <c r="H117" s="5">
        <f t="shared" si="9"/>
        <v>31.32784291</v>
      </c>
      <c r="I117" s="5">
        <f t="array" ref="I117">XLOOKUP(A117,protein_data!A:A,protein_data!B:B,"")</f>
        <v>146</v>
      </c>
      <c r="J117" s="5" t="str">
        <f t="shared" si="10"/>
        <v>Non-Responder</v>
      </c>
    </row>
    <row r="118" ht="22.5" customHeight="1">
      <c r="A118" s="3" t="s">
        <v>133</v>
      </c>
      <c r="B118" s="4">
        <v>68.0</v>
      </c>
      <c r="C118" s="3" t="s">
        <v>21</v>
      </c>
      <c r="D118" s="4">
        <v>105.05</v>
      </c>
      <c r="E118" s="4">
        <v>1.77</v>
      </c>
      <c r="F118" s="3" t="s">
        <v>17</v>
      </c>
      <c r="G118" s="3" t="s">
        <v>13</v>
      </c>
      <c r="H118" s="5">
        <f t="shared" si="9"/>
        <v>33.53123304</v>
      </c>
      <c r="I118" s="5">
        <f t="array" ref="I118">XLOOKUP(A118,protein_data!A:A,protein_data!B:B,"")</f>
        <v>124</v>
      </c>
      <c r="J118" s="5" t="str">
        <f t="shared" si="10"/>
        <v>Non-Responder</v>
      </c>
    </row>
    <row r="119" ht="22.5" customHeight="1">
      <c r="A119" s="3" t="s">
        <v>134</v>
      </c>
      <c r="B119" s="4">
        <v>73.0</v>
      </c>
      <c r="C119" s="3" t="s">
        <v>11</v>
      </c>
      <c r="D119" s="4">
        <v>86.98</v>
      </c>
      <c r="E119" s="4">
        <v>1.61</v>
      </c>
      <c r="F119" s="3" t="s">
        <v>17</v>
      </c>
      <c r="G119" s="3" t="s">
        <v>13</v>
      </c>
      <c r="H119" s="5">
        <f t="shared" si="9"/>
        <v>33.55580417</v>
      </c>
      <c r="I119" s="5">
        <f t="array" ref="I119">XLOOKUP(A119,protein_data!A:A,protein_data!B:B,"")</f>
        <v>78</v>
      </c>
      <c r="J119" s="5" t="str">
        <f t="shared" si="10"/>
        <v>Non-Responder</v>
      </c>
    </row>
    <row r="120" ht="22.5" customHeight="1">
      <c r="A120" s="3" t="s">
        <v>135</v>
      </c>
      <c r="B120" s="4">
        <v>67.0</v>
      </c>
      <c r="C120" s="3" t="s">
        <v>11</v>
      </c>
      <c r="D120" s="4">
        <v>73.44</v>
      </c>
      <c r="E120" s="4">
        <v>1.61</v>
      </c>
      <c r="F120" s="3" t="s">
        <v>12</v>
      </c>
      <c r="G120" s="3" t="s">
        <v>15</v>
      </c>
      <c r="H120" s="5">
        <f t="shared" si="9"/>
        <v>28.33224027</v>
      </c>
      <c r="I120" s="5">
        <f t="array" ref="I120">XLOOKUP(A120,protein_data!A:A,protein_data!B:B,"")</f>
        <v>97</v>
      </c>
      <c r="J120" s="5" t="str">
        <f t="shared" si="10"/>
        <v>Responder</v>
      </c>
    </row>
    <row r="121" ht="22.5" customHeight="1">
      <c r="A121" s="3" t="s">
        <v>136</v>
      </c>
      <c r="B121" s="4">
        <v>57.0</v>
      </c>
      <c r="C121" s="3" t="s">
        <v>11</v>
      </c>
      <c r="D121" s="4">
        <v>65.18</v>
      </c>
      <c r="E121" s="4">
        <v>1.68</v>
      </c>
      <c r="F121" s="3" t="s">
        <v>17</v>
      </c>
      <c r="G121" s="3" t="s">
        <v>15</v>
      </c>
      <c r="H121" s="5">
        <f t="shared" si="9"/>
        <v>23.09382086</v>
      </c>
      <c r="I121" s="5">
        <f t="array" ref="I121">XLOOKUP(A121,protein_data!A:A,protein_data!B:B,"")</f>
        <v>99</v>
      </c>
      <c r="J121" s="5" t="str">
        <f t="shared" si="10"/>
        <v>Responder</v>
      </c>
    </row>
    <row r="122" ht="22.5" customHeight="1">
      <c r="A122" s="3" t="s">
        <v>137</v>
      </c>
      <c r="B122" s="4">
        <v>54.0</v>
      </c>
      <c r="C122" s="3" t="s">
        <v>11</v>
      </c>
      <c r="D122" s="4">
        <v>142.42</v>
      </c>
      <c r="E122" s="4">
        <v>1.64</v>
      </c>
      <c r="F122" s="3" t="s">
        <v>17</v>
      </c>
      <c r="G122" s="3" t="s">
        <v>13</v>
      </c>
      <c r="H122" s="5">
        <f t="shared" si="9"/>
        <v>52.95211184</v>
      </c>
      <c r="I122" s="5">
        <f t="array" ref="I122">XLOOKUP(A122,protein_data!A:A,protein_data!B:B,"")</f>
        <v>162</v>
      </c>
      <c r="J122" s="5" t="str">
        <f t="shared" si="10"/>
        <v>Non-Responder</v>
      </c>
    </row>
    <row r="123" ht="22.5" customHeight="1">
      <c r="A123" s="3" t="s">
        <v>138</v>
      </c>
      <c r="B123" s="4">
        <v>77.0</v>
      </c>
      <c r="C123" s="3" t="s">
        <v>11</v>
      </c>
      <c r="D123" s="4">
        <v>92.83</v>
      </c>
      <c r="E123" s="4">
        <v>1.65</v>
      </c>
      <c r="F123" s="3" t="s">
        <v>12</v>
      </c>
      <c r="G123" s="3" t="s">
        <v>15</v>
      </c>
      <c r="H123" s="5">
        <f t="shared" si="9"/>
        <v>34.09733701</v>
      </c>
      <c r="I123" s="5">
        <f t="array" ref="I123">XLOOKUP(A123,protein_data!A:A,protein_data!B:B,"")</f>
        <v>111</v>
      </c>
      <c r="J123" s="5" t="str">
        <f t="shared" si="10"/>
        <v>Responder</v>
      </c>
    </row>
    <row r="124" ht="22.5" customHeight="1">
      <c r="A124" s="3" t="s">
        <v>139</v>
      </c>
      <c r="B124" s="4">
        <v>60.0</v>
      </c>
      <c r="C124" s="3" t="s">
        <v>21</v>
      </c>
      <c r="D124" s="4">
        <v>103.01</v>
      </c>
      <c r="E124" s="4">
        <v>1.76</v>
      </c>
      <c r="F124" s="3" t="s">
        <v>12</v>
      </c>
      <c r="G124" s="3" t="s">
        <v>15</v>
      </c>
      <c r="H124" s="5">
        <f t="shared" si="9"/>
        <v>33.25477789</v>
      </c>
      <c r="I124" s="5">
        <f t="array" ref="I124">XLOOKUP(A124,protein_data!A:A,protein_data!B:B,"")</f>
        <v>107</v>
      </c>
      <c r="J124" s="5" t="str">
        <f t="shared" si="10"/>
        <v>Responder</v>
      </c>
    </row>
    <row r="125" ht="22.5" customHeight="1">
      <c r="A125" s="3" t="s">
        <v>140</v>
      </c>
      <c r="B125" s="4">
        <v>62.0</v>
      </c>
      <c r="C125" s="3" t="s">
        <v>21</v>
      </c>
      <c r="D125" s="4">
        <v>80.53</v>
      </c>
      <c r="E125" s="4">
        <v>1.74</v>
      </c>
      <c r="F125" s="3" t="s">
        <v>12</v>
      </c>
      <c r="G125" s="3" t="s">
        <v>13</v>
      </c>
      <c r="H125" s="5">
        <f t="shared" si="9"/>
        <v>26.59862597</v>
      </c>
      <c r="I125" s="5">
        <f t="array" ref="I125">XLOOKUP(A125,protein_data!A:A,protein_data!B:B,"")</f>
        <v>132</v>
      </c>
      <c r="J125" s="5" t="str">
        <f t="shared" si="10"/>
        <v>Non-Responder</v>
      </c>
    </row>
    <row r="126" ht="22.5" customHeight="1">
      <c r="A126" s="3" t="s">
        <v>141</v>
      </c>
      <c r="B126" s="4">
        <v>69.0</v>
      </c>
      <c r="C126" s="3" t="s">
        <v>11</v>
      </c>
      <c r="D126" s="4">
        <v>88.04</v>
      </c>
      <c r="E126" s="4">
        <v>1.63</v>
      </c>
      <c r="F126" s="3" t="s">
        <v>17</v>
      </c>
      <c r="G126" s="3" t="s">
        <v>13</v>
      </c>
      <c r="H126" s="5">
        <f t="shared" si="9"/>
        <v>33.13636193</v>
      </c>
      <c r="I126" s="5">
        <f t="array" ref="I126">XLOOKUP(A126,protein_data!A:A,protein_data!B:B,"")</f>
        <v>113</v>
      </c>
      <c r="J126" s="5" t="str">
        <f t="shared" si="10"/>
        <v>Non-Responder</v>
      </c>
    </row>
    <row r="127" ht="22.5" customHeight="1">
      <c r="A127" s="3" t="s">
        <v>142</v>
      </c>
      <c r="B127" s="4">
        <v>64.0</v>
      </c>
      <c r="C127" s="3" t="s">
        <v>11</v>
      </c>
      <c r="D127" s="4">
        <v>135.86</v>
      </c>
      <c r="E127" s="4">
        <v>1.57</v>
      </c>
      <c r="F127" s="3" t="s">
        <v>12</v>
      </c>
      <c r="G127" s="3" t="s">
        <v>15</v>
      </c>
      <c r="H127" s="5">
        <f t="shared" si="9"/>
        <v>55.11785468</v>
      </c>
      <c r="I127" s="5">
        <f t="array" ref="I127">XLOOKUP(A127,protein_data!A:A,protein_data!B:B,"")</f>
        <v>88</v>
      </c>
      <c r="J127" s="5" t="str">
        <f t="shared" si="10"/>
        <v>Responder</v>
      </c>
    </row>
    <row r="128" ht="22.5" customHeight="1">
      <c r="A128" s="3" t="s">
        <v>143</v>
      </c>
      <c r="B128" s="4">
        <v>67.0</v>
      </c>
      <c r="C128" s="3" t="s">
        <v>11</v>
      </c>
      <c r="D128" s="4">
        <v>107.45</v>
      </c>
      <c r="E128" s="4">
        <v>1.58</v>
      </c>
      <c r="F128" s="3" t="s">
        <v>12</v>
      </c>
      <c r="G128" s="3" t="s">
        <v>15</v>
      </c>
      <c r="H128" s="5">
        <f t="shared" si="9"/>
        <v>43.04198045</v>
      </c>
      <c r="I128" s="5">
        <f t="array" ref="I128">XLOOKUP(A128,protein_data!A:A,protein_data!B:B,"")</f>
        <v>120</v>
      </c>
      <c r="J128" s="5" t="str">
        <f t="shared" si="10"/>
        <v>Responder</v>
      </c>
    </row>
    <row r="129" ht="22.5" customHeight="1">
      <c r="A129" s="3" t="s">
        <v>144</v>
      </c>
      <c r="B129" s="4">
        <v>72.0</v>
      </c>
      <c r="C129" s="3" t="s">
        <v>21</v>
      </c>
      <c r="D129" s="4">
        <v>114.0</v>
      </c>
      <c r="E129" s="4">
        <v>1.86</v>
      </c>
      <c r="F129" s="3" t="s">
        <v>12</v>
      </c>
      <c r="G129" s="3" t="s">
        <v>15</v>
      </c>
      <c r="H129" s="5">
        <f t="shared" si="9"/>
        <v>32.95178633</v>
      </c>
      <c r="I129" s="5">
        <f t="array" ref="I129">XLOOKUP(A129,protein_data!A:A,protein_data!B:B,"")</f>
        <v>118</v>
      </c>
      <c r="J129" s="5" t="str">
        <f t="shared" si="10"/>
        <v>Responder</v>
      </c>
    </row>
    <row r="130" ht="22.5" customHeight="1">
      <c r="A130" s="3" t="s">
        <v>145</v>
      </c>
      <c r="B130" s="4">
        <v>72.0</v>
      </c>
      <c r="C130" s="3" t="s">
        <v>11</v>
      </c>
      <c r="D130" s="4">
        <v>92.75</v>
      </c>
      <c r="E130" s="4">
        <v>1.64</v>
      </c>
      <c r="F130" s="3" t="s">
        <v>17</v>
      </c>
      <c r="G130" s="3" t="s">
        <v>13</v>
      </c>
      <c r="H130" s="5">
        <f t="shared" si="9"/>
        <v>34.48468174</v>
      </c>
      <c r="I130" s="5">
        <f t="array" ref="I130">XLOOKUP(A130,protein_data!A:A,protein_data!B:B,"")</f>
        <v>117</v>
      </c>
      <c r="J130" s="5" t="str">
        <f t="shared" si="10"/>
        <v>Non-Responder</v>
      </c>
    </row>
    <row r="131" ht="22.5" customHeight="1">
      <c r="A131" s="3" t="s">
        <v>146</v>
      </c>
      <c r="B131" s="4">
        <v>54.0</v>
      </c>
      <c r="C131" s="3" t="s">
        <v>11</v>
      </c>
      <c r="D131" s="4">
        <v>77.75</v>
      </c>
      <c r="E131" s="4">
        <v>1.67</v>
      </c>
      <c r="F131" s="3" t="s">
        <v>12</v>
      </c>
      <c r="G131" s="3" t="s">
        <v>13</v>
      </c>
      <c r="H131" s="5">
        <f t="shared" si="9"/>
        <v>27.87837499</v>
      </c>
      <c r="I131" s="5">
        <f t="array" ref="I131">XLOOKUP(A131,protein_data!A:A,protein_data!B:B,"")</f>
        <v>105</v>
      </c>
      <c r="J131" s="5" t="str">
        <f t="shared" si="10"/>
        <v>Non-Responder</v>
      </c>
    </row>
    <row r="132" ht="22.5" customHeight="1">
      <c r="A132" s="3" t="s">
        <v>147</v>
      </c>
      <c r="B132" s="4">
        <v>57.0</v>
      </c>
      <c r="C132" s="3" t="s">
        <v>21</v>
      </c>
      <c r="D132" s="4">
        <v>80.22</v>
      </c>
      <c r="E132" s="4">
        <v>1.65</v>
      </c>
      <c r="F132" s="3" t="s">
        <v>17</v>
      </c>
      <c r="G132" s="3" t="s">
        <v>13</v>
      </c>
      <c r="H132" s="5">
        <f t="shared" si="9"/>
        <v>29.46556474</v>
      </c>
      <c r="I132" s="5">
        <f t="array" ref="I132">XLOOKUP(A132,protein_data!A:A,protein_data!B:B,"")</f>
        <v>173</v>
      </c>
      <c r="J132" s="5" t="str">
        <f t="shared" si="10"/>
        <v>Non-Responder</v>
      </c>
    </row>
    <row r="133" ht="22.5" customHeight="1">
      <c r="A133" s="3" t="s">
        <v>148</v>
      </c>
      <c r="B133" s="4">
        <v>59.0</v>
      </c>
      <c r="C133" s="3" t="s">
        <v>11</v>
      </c>
      <c r="D133" s="4">
        <v>75.63</v>
      </c>
      <c r="E133" s="4">
        <v>1.51</v>
      </c>
      <c r="F133" s="3" t="s">
        <v>17</v>
      </c>
      <c r="G133" s="3" t="s">
        <v>13</v>
      </c>
      <c r="H133" s="5">
        <f t="shared" si="9"/>
        <v>33.16959782</v>
      </c>
      <c r="I133" s="5">
        <f t="array" ref="I133">XLOOKUP(A133,protein_data!A:A,protein_data!B:B,"")</f>
        <v>122</v>
      </c>
      <c r="J133" s="5" t="str">
        <f t="shared" si="10"/>
        <v>Non-Responder</v>
      </c>
    </row>
    <row r="134" ht="22.5" customHeight="1">
      <c r="A134" s="3" t="s">
        <v>149</v>
      </c>
      <c r="B134" s="4">
        <v>67.0</v>
      </c>
      <c r="C134" s="3" t="s">
        <v>21</v>
      </c>
      <c r="D134" s="4">
        <v>98.53</v>
      </c>
      <c r="E134" s="4">
        <v>1.7</v>
      </c>
      <c r="F134" s="3" t="s">
        <v>17</v>
      </c>
      <c r="G134" s="3" t="s">
        <v>13</v>
      </c>
      <c r="H134" s="5">
        <f t="shared" si="9"/>
        <v>34.09342561</v>
      </c>
      <c r="I134" s="5">
        <f t="array" ref="I134">XLOOKUP(A134,protein_data!A:A,protein_data!B:B,"")</f>
        <v>170</v>
      </c>
      <c r="J134" s="5" t="str">
        <f t="shared" si="10"/>
        <v>Non-Responder</v>
      </c>
    </row>
    <row r="135" ht="22.5" customHeight="1">
      <c r="A135" s="3" t="s">
        <v>150</v>
      </c>
      <c r="B135" s="4">
        <v>60.0</v>
      </c>
      <c r="C135" s="3" t="s">
        <v>11</v>
      </c>
      <c r="D135" s="4">
        <v>97.83</v>
      </c>
      <c r="E135" s="4">
        <v>1.6</v>
      </c>
      <c r="F135" s="3" t="s">
        <v>12</v>
      </c>
      <c r="G135" s="3" t="s">
        <v>15</v>
      </c>
      <c r="H135" s="5">
        <f t="shared" si="9"/>
        <v>38.21484375</v>
      </c>
      <c r="I135" s="5">
        <f t="array" ref="I135">XLOOKUP(A135,protein_data!A:A,protein_data!B:B,"")</f>
        <v>84</v>
      </c>
      <c r="J135" s="5" t="str">
        <f t="shared" si="10"/>
        <v>Responder</v>
      </c>
    </row>
    <row r="136" ht="22.5" customHeight="1">
      <c r="A136" s="3" t="s">
        <v>151</v>
      </c>
      <c r="B136" s="4">
        <v>58.0</v>
      </c>
      <c r="C136" s="3" t="s">
        <v>11</v>
      </c>
      <c r="D136" s="4">
        <v>48.14</v>
      </c>
      <c r="E136" s="4">
        <v>1.51</v>
      </c>
      <c r="F136" s="3" t="s">
        <v>12</v>
      </c>
      <c r="G136" s="3" t="s">
        <v>15</v>
      </c>
      <c r="H136" s="5">
        <f t="shared" si="9"/>
        <v>21.11310907</v>
      </c>
      <c r="I136" s="5">
        <f t="array" ref="I136">XLOOKUP(A136,protein_data!A:A,protein_data!B:B,"")</f>
        <v>96</v>
      </c>
      <c r="J136" s="5" t="str">
        <f t="shared" si="10"/>
        <v>Responder</v>
      </c>
    </row>
    <row r="137" ht="22.5" customHeight="1">
      <c r="A137" s="3" t="s">
        <v>152</v>
      </c>
      <c r="B137" s="4">
        <v>65.0</v>
      </c>
      <c r="C137" s="3" t="s">
        <v>11</v>
      </c>
      <c r="D137" s="4">
        <v>91.5</v>
      </c>
      <c r="E137" s="4">
        <v>1.65</v>
      </c>
      <c r="F137" s="3" t="s">
        <v>17</v>
      </c>
      <c r="G137" s="3" t="s">
        <v>13</v>
      </c>
      <c r="H137" s="5">
        <f t="shared" si="9"/>
        <v>33.60881543</v>
      </c>
      <c r="I137" s="5">
        <f t="array" ref="I137">XLOOKUP(A137,protein_data!A:A,protein_data!B:B,"")</f>
        <v>125</v>
      </c>
      <c r="J137" s="5" t="str">
        <f t="shared" si="10"/>
        <v>Non-Responder</v>
      </c>
    </row>
    <row r="138" ht="22.5" customHeight="1">
      <c r="A138" s="3" t="s">
        <v>153</v>
      </c>
      <c r="B138" s="4">
        <v>69.0</v>
      </c>
      <c r="C138" s="3" t="s">
        <v>21</v>
      </c>
      <c r="D138" s="4">
        <v>101.9</v>
      </c>
      <c r="E138" s="4">
        <v>1.83</v>
      </c>
      <c r="F138" s="3" t="s">
        <v>17</v>
      </c>
      <c r="G138" s="3" t="s">
        <v>13</v>
      </c>
      <c r="H138" s="5">
        <f t="shared" si="9"/>
        <v>30.4279017</v>
      </c>
      <c r="I138" s="5">
        <f t="array" ref="I138">XLOOKUP(A138,protein_data!A:A,protein_data!B:B,"")</f>
        <v>100</v>
      </c>
      <c r="J138" s="5" t="str">
        <f t="shared" si="10"/>
        <v>Non-Responder</v>
      </c>
    </row>
    <row r="139" ht="22.5" customHeight="1">
      <c r="A139" s="3" t="s">
        <v>154</v>
      </c>
      <c r="B139" s="4">
        <v>55.0</v>
      </c>
      <c r="C139" s="3" t="s">
        <v>11</v>
      </c>
      <c r="D139" s="4">
        <v>72.38</v>
      </c>
      <c r="E139" s="4">
        <v>1.59</v>
      </c>
      <c r="F139" s="3" t="s">
        <v>17</v>
      </c>
      <c r="G139" s="3" t="s">
        <v>15</v>
      </c>
      <c r="H139" s="5">
        <f t="shared" si="9"/>
        <v>28.63019659</v>
      </c>
      <c r="I139" s="5">
        <f t="array" ref="I139">XLOOKUP(A139,protein_data!A:A,protein_data!B:B,"")</f>
        <v>93</v>
      </c>
      <c r="J139" s="5" t="str">
        <f t="shared" si="10"/>
        <v>Responder</v>
      </c>
    </row>
    <row r="140" ht="22.5" customHeight="1">
      <c r="A140" s="3" t="s">
        <v>155</v>
      </c>
      <c r="B140" s="4">
        <v>49.0</v>
      </c>
      <c r="C140" s="3" t="s">
        <v>11</v>
      </c>
      <c r="D140" s="4">
        <v>65.03</v>
      </c>
      <c r="E140" s="4">
        <v>1.44</v>
      </c>
      <c r="F140" s="3" t="s">
        <v>17</v>
      </c>
      <c r="G140" s="3" t="s">
        <v>13</v>
      </c>
      <c r="H140" s="5">
        <f t="shared" si="9"/>
        <v>31.36091821</v>
      </c>
      <c r="I140" s="5">
        <f t="array" ref="I140">XLOOKUP(A140,protein_data!A:A,protein_data!B:B,"")</f>
        <v>129</v>
      </c>
      <c r="J140" s="5" t="str">
        <f t="shared" si="10"/>
        <v>Non-Responder</v>
      </c>
    </row>
    <row r="141" ht="22.5" customHeight="1">
      <c r="A141" s="3" t="s">
        <v>156</v>
      </c>
      <c r="B141" s="4">
        <v>77.0</v>
      </c>
      <c r="C141" s="3" t="s">
        <v>11</v>
      </c>
      <c r="D141" s="4">
        <v>96.57</v>
      </c>
      <c r="E141" s="4">
        <v>1.62</v>
      </c>
      <c r="F141" s="3" t="s">
        <v>17</v>
      </c>
      <c r="G141" s="3" t="s">
        <v>13</v>
      </c>
      <c r="H141" s="5">
        <f t="shared" si="9"/>
        <v>36.79698217</v>
      </c>
      <c r="I141" s="5">
        <f t="array" ref="I141">XLOOKUP(A141,protein_data!A:A,protein_data!B:B,"")</f>
        <v>105</v>
      </c>
      <c r="J141" s="5" t="str">
        <f t="shared" si="10"/>
        <v>Non-Responder</v>
      </c>
    </row>
    <row r="142" ht="22.5" customHeight="1">
      <c r="A142" s="3" t="s">
        <v>157</v>
      </c>
      <c r="B142" s="4">
        <v>57.0</v>
      </c>
      <c r="C142" s="3" t="s">
        <v>21</v>
      </c>
      <c r="D142" s="4">
        <v>59.76</v>
      </c>
      <c r="E142" s="4">
        <v>1.69</v>
      </c>
      <c r="F142" s="3" t="s">
        <v>12</v>
      </c>
      <c r="G142" s="3" t="s">
        <v>15</v>
      </c>
      <c r="H142" s="5">
        <f t="shared" si="9"/>
        <v>20.92363713</v>
      </c>
      <c r="I142" s="5">
        <f t="array" ref="I142">XLOOKUP(A142,protein_data!A:A,protein_data!B:B,"")</f>
        <v>128</v>
      </c>
      <c r="J142" s="5" t="str">
        <f t="shared" si="10"/>
        <v>Responder</v>
      </c>
    </row>
    <row r="143" ht="22.5" customHeight="1">
      <c r="A143" s="3" t="s">
        <v>158</v>
      </c>
      <c r="B143" s="4">
        <v>57.0</v>
      </c>
      <c r="C143" s="3" t="s">
        <v>11</v>
      </c>
      <c r="D143" s="4">
        <v>98.98</v>
      </c>
      <c r="E143" s="4">
        <v>1.58</v>
      </c>
      <c r="F143" s="3" t="s">
        <v>17</v>
      </c>
      <c r="G143" s="3" t="s">
        <v>15</v>
      </c>
      <c r="H143" s="5">
        <f t="shared" si="9"/>
        <v>39.6490947</v>
      </c>
      <c r="I143" s="5">
        <f t="array" ref="I143">XLOOKUP(A143,protein_data!A:A,protein_data!B:B,"")</f>
        <v>106</v>
      </c>
      <c r="J143" s="5" t="str">
        <f t="shared" si="10"/>
        <v>Responder</v>
      </c>
    </row>
    <row r="144" ht="22.5" customHeight="1">
      <c r="A144" s="3" t="s">
        <v>159</v>
      </c>
      <c r="B144" s="4">
        <v>63.0</v>
      </c>
      <c r="C144" s="3" t="s">
        <v>21</v>
      </c>
      <c r="D144" s="4">
        <v>97.06</v>
      </c>
      <c r="E144" s="4">
        <v>1.74</v>
      </c>
      <c r="F144" s="3" t="s">
        <v>17</v>
      </c>
      <c r="G144" s="3" t="s">
        <v>13</v>
      </c>
      <c r="H144" s="5">
        <f t="shared" si="9"/>
        <v>32.05839609</v>
      </c>
      <c r="I144" s="5">
        <f t="array" ref="I144">XLOOKUP(A144,protein_data!A:A,protein_data!B:B,"")</f>
        <v>108</v>
      </c>
      <c r="J144" s="5" t="str">
        <f t="shared" si="10"/>
        <v>Non-Responder</v>
      </c>
    </row>
    <row r="145" ht="22.5" customHeight="1">
      <c r="A145" s="3" t="s">
        <v>160</v>
      </c>
      <c r="B145" s="4">
        <v>61.0</v>
      </c>
      <c r="C145" s="3" t="s">
        <v>21</v>
      </c>
      <c r="D145" s="4">
        <v>112.12</v>
      </c>
      <c r="E145" s="4">
        <v>1.87</v>
      </c>
      <c r="F145" s="3" t="s">
        <v>12</v>
      </c>
      <c r="G145" s="3" t="s">
        <v>15</v>
      </c>
      <c r="H145" s="5">
        <f t="shared" si="9"/>
        <v>32.06268409</v>
      </c>
      <c r="I145" s="5">
        <f t="array" ref="I145">XLOOKUP(A145,protein_data!A:A,protein_data!B:B,"")</f>
        <v>108</v>
      </c>
      <c r="J145" s="5" t="str">
        <f t="shared" si="10"/>
        <v>Responder</v>
      </c>
    </row>
    <row r="146" ht="22.5" customHeight="1">
      <c r="A146" s="3" t="s">
        <v>161</v>
      </c>
      <c r="B146" s="4">
        <v>56.0</v>
      </c>
      <c r="C146" s="3" t="s">
        <v>11</v>
      </c>
      <c r="D146" s="4">
        <v>85.41</v>
      </c>
      <c r="E146" s="4">
        <v>1.61</v>
      </c>
      <c r="F146" s="3" t="s">
        <v>17</v>
      </c>
      <c r="G146" s="3" t="s">
        <v>13</v>
      </c>
      <c r="H146" s="5">
        <f t="shared" si="9"/>
        <v>32.95011767</v>
      </c>
      <c r="I146" s="5">
        <f t="array" ref="I146">XLOOKUP(A146,protein_data!A:A,protein_data!B:B,"")</f>
        <v>154</v>
      </c>
      <c r="J146" s="5" t="str">
        <f t="shared" si="10"/>
        <v>Non-Responder</v>
      </c>
    </row>
    <row r="147" ht="22.5" hidden="1" customHeight="1">
      <c r="A147" s="3" t="s">
        <v>162</v>
      </c>
      <c r="B147" s="4">
        <v>56.0</v>
      </c>
      <c r="C147" s="3" t="s">
        <v>11</v>
      </c>
      <c r="D147" s="3" t="s">
        <v>26</v>
      </c>
      <c r="E147" s="4">
        <v>1.57</v>
      </c>
      <c r="F147" s="3" t="s">
        <v>17</v>
      </c>
      <c r="G147" s="3" t="s">
        <v>13</v>
      </c>
      <c r="H147" s="5"/>
      <c r="I147" s="5"/>
      <c r="J147" s="5"/>
    </row>
    <row r="148" ht="22.5" customHeight="1">
      <c r="A148" s="3" t="s">
        <v>163</v>
      </c>
      <c r="B148" s="4">
        <v>67.0</v>
      </c>
      <c r="C148" s="3" t="s">
        <v>21</v>
      </c>
      <c r="D148" s="4">
        <v>103.06</v>
      </c>
      <c r="E148" s="4">
        <v>1.78</v>
      </c>
      <c r="F148" s="3" t="s">
        <v>12</v>
      </c>
      <c r="G148" s="3" t="s">
        <v>15</v>
      </c>
      <c r="H148" s="5">
        <f t="shared" ref="H148:H372" si="11">(D148)/(E148^2)</f>
        <v>32.52745865</v>
      </c>
      <c r="I148" s="5">
        <f t="array" ref="I148">XLOOKUP(A148,protein_data!A:A,protein_data!B:B,"")</f>
        <v>57</v>
      </c>
      <c r="J148" s="5" t="str">
        <f t="shared" ref="J148:J372" si="12">if(G148="y","Responder","Non-Responder")</f>
        <v>Responder</v>
      </c>
    </row>
    <row r="149" ht="22.5" customHeight="1">
      <c r="A149" s="3" t="s">
        <v>164</v>
      </c>
      <c r="B149" s="4">
        <v>56.0</v>
      </c>
      <c r="C149" s="3" t="s">
        <v>11</v>
      </c>
      <c r="D149" s="4">
        <v>74.52</v>
      </c>
      <c r="E149" s="4">
        <v>1.56</v>
      </c>
      <c r="F149" s="3" t="s">
        <v>17</v>
      </c>
      <c r="G149" s="3" t="s">
        <v>13</v>
      </c>
      <c r="H149" s="5">
        <f t="shared" si="11"/>
        <v>30.62130178</v>
      </c>
      <c r="I149" s="5">
        <f t="array" ref="I149">XLOOKUP(A149,protein_data!A:A,protein_data!B:B,"")</f>
        <v>106</v>
      </c>
      <c r="J149" s="5" t="str">
        <f t="shared" si="12"/>
        <v>Non-Responder</v>
      </c>
    </row>
    <row r="150" ht="22.5" customHeight="1">
      <c r="A150" s="3" t="s">
        <v>165</v>
      </c>
      <c r="B150" s="4">
        <v>69.0</v>
      </c>
      <c r="C150" s="3" t="s">
        <v>21</v>
      </c>
      <c r="D150" s="4">
        <v>96.64</v>
      </c>
      <c r="E150" s="4">
        <v>1.7</v>
      </c>
      <c r="F150" s="3" t="s">
        <v>17</v>
      </c>
      <c r="G150" s="3" t="s">
        <v>13</v>
      </c>
      <c r="H150" s="5">
        <f t="shared" si="11"/>
        <v>33.43944637</v>
      </c>
      <c r="I150" s="5">
        <f t="array" ref="I150">XLOOKUP(A150,protein_data!A:A,protein_data!B:B,"")</f>
        <v>147</v>
      </c>
      <c r="J150" s="5" t="str">
        <f t="shared" si="12"/>
        <v>Non-Responder</v>
      </c>
    </row>
    <row r="151" ht="22.5" customHeight="1">
      <c r="A151" s="3" t="s">
        <v>166</v>
      </c>
      <c r="B151" s="4">
        <v>46.0</v>
      </c>
      <c r="C151" s="3" t="s">
        <v>21</v>
      </c>
      <c r="D151" s="4">
        <v>81.64</v>
      </c>
      <c r="E151" s="4">
        <v>1.74</v>
      </c>
      <c r="F151" s="3" t="s">
        <v>12</v>
      </c>
      <c r="G151" s="3" t="s">
        <v>15</v>
      </c>
      <c r="H151" s="5">
        <f t="shared" si="11"/>
        <v>26.96525301</v>
      </c>
      <c r="I151" s="5">
        <f t="array" ref="I151">XLOOKUP(A151,protein_data!A:A,protein_data!B:B,"")</f>
        <v>90</v>
      </c>
      <c r="J151" s="5" t="str">
        <f t="shared" si="12"/>
        <v>Responder</v>
      </c>
    </row>
    <row r="152" ht="22.5" customHeight="1">
      <c r="A152" s="3" t="s">
        <v>167</v>
      </c>
      <c r="B152" s="4">
        <v>63.0</v>
      </c>
      <c r="C152" s="3" t="s">
        <v>21</v>
      </c>
      <c r="D152" s="4">
        <v>124.94</v>
      </c>
      <c r="E152" s="4">
        <v>1.84</v>
      </c>
      <c r="F152" s="3" t="s">
        <v>12</v>
      </c>
      <c r="G152" s="3" t="s">
        <v>13</v>
      </c>
      <c r="H152" s="5">
        <f t="shared" si="11"/>
        <v>36.90335539</v>
      </c>
      <c r="I152" s="5">
        <f t="array" ref="I152">XLOOKUP(A152,protein_data!A:A,protein_data!B:B,"")</f>
        <v>136</v>
      </c>
      <c r="J152" s="5" t="str">
        <f t="shared" si="12"/>
        <v>Non-Responder</v>
      </c>
    </row>
    <row r="153" ht="22.5" customHeight="1">
      <c r="A153" s="3" t="s">
        <v>168</v>
      </c>
      <c r="B153" s="4">
        <v>58.0</v>
      </c>
      <c r="C153" s="3" t="s">
        <v>11</v>
      </c>
      <c r="D153" s="4">
        <v>51.67</v>
      </c>
      <c r="E153" s="4">
        <v>1.54</v>
      </c>
      <c r="F153" s="3" t="s">
        <v>12</v>
      </c>
      <c r="G153" s="3" t="s">
        <v>13</v>
      </c>
      <c r="H153" s="5">
        <f t="shared" si="11"/>
        <v>21.78697925</v>
      </c>
      <c r="I153" s="5">
        <f t="array" ref="I153">XLOOKUP(A153,protein_data!A:A,protein_data!B:B,"")</f>
        <v>114</v>
      </c>
      <c r="J153" s="5" t="str">
        <f t="shared" si="12"/>
        <v>Non-Responder</v>
      </c>
    </row>
    <row r="154" ht="22.5" customHeight="1">
      <c r="A154" s="3" t="s">
        <v>169</v>
      </c>
      <c r="B154" s="4">
        <v>71.0</v>
      </c>
      <c r="C154" s="3" t="s">
        <v>11</v>
      </c>
      <c r="D154" s="4">
        <v>88.88</v>
      </c>
      <c r="E154" s="4">
        <v>1.61</v>
      </c>
      <c r="F154" s="3" t="s">
        <v>17</v>
      </c>
      <c r="G154" s="3" t="s">
        <v>15</v>
      </c>
      <c r="H154" s="5">
        <f t="shared" si="11"/>
        <v>34.28880059</v>
      </c>
      <c r="I154" s="5">
        <f t="array" ref="I154">XLOOKUP(A154,protein_data!A:A,protein_data!B:B,"")</f>
        <v>156</v>
      </c>
      <c r="J154" s="5" t="str">
        <f t="shared" si="12"/>
        <v>Responder</v>
      </c>
    </row>
    <row r="155" ht="22.5" customHeight="1">
      <c r="A155" s="3" t="s">
        <v>170</v>
      </c>
      <c r="B155" s="4">
        <v>66.0</v>
      </c>
      <c r="C155" s="3" t="s">
        <v>21</v>
      </c>
      <c r="D155" s="4">
        <v>116.5</v>
      </c>
      <c r="E155" s="4">
        <v>1.7</v>
      </c>
      <c r="F155" s="3" t="s">
        <v>12</v>
      </c>
      <c r="G155" s="3" t="s">
        <v>13</v>
      </c>
      <c r="H155" s="5">
        <f t="shared" si="11"/>
        <v>40.31141869</v>
      </c>
      <c r="I155" s="5">
        <f t="array" ref="I155">XLOOKUP(A155,protein_data!A:A,protein_data!B:B,"")</f>
        <v>153</v>
      </c>
      <c r="J155" s="5" t="str">
        <f t="shared" si="12"/>
        <v>Non-Responder</v>
      </c>
    </row>
    <row r="156" ht="22.5" customHeight="1">
      <c r="A156" s="3" t="s">
        <v>171</v>
      </c>
      <c r="B156" s="4">
        <v>65.0</v>
      </c>
      <c r="C156" s="3" t="s">
        <v>21</v>
      </c>
      <c r="D156" s="4">
        <v>148.86</v>
      </c>
      <c r="E156" s="4">
        <v>1.77</v>
      </c>
      <c r="F156" s="3" t="s">
        <v>12</v>
      </c>
      <c r="G156" s="3" t="s">
        <v>13</v>
      </c>
      <c r="H156" s="5">
        <f t="shared" si="11"/>
        <v>47.51508187</v>
      </c>
      <c r="I156" s="5">
        <f t="array" ref="I156">XLOOKUP(A156,protein_data!A:A,protein_data!B:B,"")</f>
        <v>188</v>
      </c>
      <c r="J156" s="5" t="str">
        <f t="shared" si="12"/>
        <v>Non-Responder</v>
      </c>
    </row>
    <row r="157" ht="22.5" customHeight="1">
      <c r="A157" s="3" t="s">
        <v>172</v>
      </c>
      <c r="B157" s="4">
        <v>58.0</v>
      </c>
      <c r="C157" s="3" t="s">
        <v>11</v>
      </c>
      <c r="D157" s="4">
        <v>128.78</v>
      </c>
      <c r="E157" s="4">
        <v>1.6</v>
      </c>
      <c r="F157" s="3" t="s">
        <v>12</v>
      </c>
      <c r="G157" s="3" t="s">
        <v>15</v>
      </c>
      <c r="H157" s="5">
        <f t="shared" si="11"/>
        <v>50.3046875</v>
      </c>
      <c r="I157" s="5">
        <f t="array" ref="I157">XLOOKUP(A157,protein_data!A:A,protein_data!B:B,"")</f>
        <v>152</v>
      </c>
      <c r="J157" s="5" t="str">
        <f t="shared" si="12"/>
        <v>Responder</v>
      </c>
    </row>
    <row r="158" ht="22.5" customHeight="1">
      <c r="A158" s="3" t="s">
        <v>173</v>
      </c>
      <c r="B158" s="4">
        <v>72.0</v>
      </c>
      <c r="C158" s="3" t="s">
        <v>21</v>
      </c>
      <c r="D158" s="4">
        <v>81.3</v>
      </c>
      <c r="E158" s="4">
        <v>1.83</v>
      </c>
      <c r="F158" s="3" t="s">
        <v>12</v>
      </c>
      <c r="G158" s="3" t="s">
        <v>15</v>
      </c>
      <c r="H158" s="5">
        <f t="shared" si="11"/>
        <v>24.27662815</v>
      </c>
      <c r="I158" s="5">
        <f t="array" ref="I158">XLOOKUP(A158,protein_data!A:A,protein_data!B:B,"")</f>
        <v>99</v>
      </c>
      <c r="J158" s="5" t="str">
        <f t="shared" si="12"/>
        <v>Responder</v>
      </c>
    </row>
    <row r="159" ht="22.5" customHeight="1">
      <c r="A159" s="3" t="s">
        <v>174</v>
      </c>
      <c r="B159" s="4">
        <v>71.0</v>
      </c>
      <c r="C159" s="3" t="s">
        <v>21</v>
      </c>
      <c r="D159" s="4">
        <v>80.19</v>
      </c>
      <c r="E159" s="4">
        <v>1.79</v>
      </c>
      <c r="F159" s="3" t="s">
        <v>17</v>
      </c>
      <c r="G159" s="3" t="s">
        <v>13</v>
      </c>
      <c r="H159" s="5">
        <f t="shared" si="11"/>
        <v>25.02730876</v>
      </c>
      <c r="I159" s="5">
        <f t="array" ref="I159">XLOOKUP(A159,protein_data!A:A,protein_data!B:B,"")</f>
        <v>109</v>
      </c>
      <c r="J159" s="5" t="str">
        <f t="shared" si="12"/>
        <v>Non-Responder</v>
      </c>
    </row>
    <row r="160" ht="22.5" customHeight="1">
      <c r="A160" s="3" t="s">
        <v>175</v>
      </c>
      <c r="B160" s="4">
        <v>59.0</v>
      </c>
      <c r="C160" s="3" t="s">
        <v>21</v>
      </c>
      <c r="D160" s="4">
        <v>79.82</v>
      </c>
      <c r="E160" s="4">
        <v>1.67</v>
      </c>
      <c r="F160" s="3" t="s">
        <v>17</v>
      </c>
      <c r="G160" s="3" t="s">
        <v>13</v>
      </c>
      <c r="H160" s="5">
        <f t="shared" si="11"/>
        <v>28.62060311</v>
      </c>
      <c r="I160" s="5">
        <f t="array" ref="I160">XLOOKUP(A160,protein_data!A:A,protein_data!B:B,"")</f>
        <v>88</v>
      </c>
      <c r="J160" s="5" t="str">
        <f t="shared" si="12"/>
        <v>Non-Responder</v>
      </c>
    </row>
    <row r="161" ht="22.5" customHeight="1">
      <c r="A161" s="3" t="s">
        <v>176</v>
      </c>
      <c r="B161" s="4">
        <v>58.0</v>
      </c>
      <c r="C161" s="3" t="s">
        <v>11</v>
      </c>
      <c r="D161" s="4">
        <v>115.17</v>
      </c>
      <c r="E161" s="4">
        <v>1.68</v>
      </c>
      <c r="F161" s="3" t="s">
        <v>17</v>
      </c>
      <c r="G161" s="3" t="s">
        <v>13</v>
      </c>
      <c r="H161" s="5">
        <f t="shared" si="11"/>
        <v>40.80569728</v>
      </c>
      <c r="I161" s="5">
        <f t="array" ref="I161">XLOOKUP(A161,protein_data!A:A,protein_data!B:B,"")</f>
        <v>163</v>
      </c>
      <c r="J161" s="5" t="str">
        <f t="shared" si="12"/>
        <v>Non-Responder</v>
      </c>
    </row>
    <row r="162" ht="22.5" customHeight="1">
      <c r="A162" s="3" t="s">
        <v>177</v>
      </c>
      <c r="B162" s="4">
        <v>69.0</v>
      </c>
      <c r="C162" s="3" t="s">
        <v>11</v>
      </c>
      <c r="D162" s="4">
        <v>71.42</v>
      </c>
      <c r="E162" s="4">
        <v>1.55</v>
      </c>
      <c r="F162" s="3" t="s">
        <v>17</v>
      </c>
      <c r="G162" s="3" t="s">
        <v>13</v>
      </c>
      <c r="H162" s="5">
        <f t="shared" si="11"/>
        <v>29.72736733</v>
      </c>
      <c r="I162" s="5">
        <f t="array" ref="I162">XLOOKUP(A162,protein_data!A:A,protein_data!B:B,"")</f>
        <v>151</v>
      </c>
      <c r="J162" s="5" t="str">
        <f t="shared" si="12"/>
        <v>Non-Responder</v>
      </c>
    </row>
    <row r="163" ht="22.5" customHeight="1">
      <c r="A163" s="3" t="s">
        <v>178</v>
      </c>
      <c r="B163" s="4">
        <v>65.0</v>
      </c>
      <c r="C163" s="3" t="s">
        <v>21</v>
      </c>
      <c r="D163" s="4">
        <v>108.43</v>
      </c>
      <c r="E163" s="4">
        <v>1.71</v>
      </c>
      <c r="F163" s="3" t="s">
        <v>12</v>
      </c>
      <c r="G163" s="3" t="s">
        <v>15</v>
      </c>
      <c r="H163" s="5">
        <f t="shared" si="11"/>
        <v>37.08149516</v>
      </c>
      <c r="I163" s="5">
        <f t="array" ref="I163">XLOOKUP(A163,protein_data!A:A,protein_data!B:B,"")</f>
        <v>102</v>
      </c>
      <c r="J163" s="5" t="str">
        <f t="shared" si="12"/>
        <v>Responder</v>
      </c>
    </row>
    <row r="164" ht="22.5" customHeight="1">
      <c r="A164" s="3" t="s">
        <v>179</v>
      </c>
      <c r="B164" s="4">
        <v>63.0</v>
      </c>
      <c r="C164" s="3" t="s">
        <v>21</v>
      </c>
      <c r="D164" s="4">
        <v>137.18</v>
      </c>
      <c r="E164" s="4">
        <v>1.77</v>
      </c>
      <c r="F164" s="3" t="s">
        <v>12</v>
      </c>
      <c r="G164" s="3" t="s">
        <v>15</v>
      </c>
      <c r="H164" s="5">
        <f t="shared" si="11"/>
        <v>43.7869067</v>
      </c>
      <c r="I164" s="5">
        <f t="array" ref="I164">XLOOKUP(A164,protein_data!A:A,protein_data!B:B,"")</f>
        <v>114</v>
      </c>
      <c r="J164" s="5" t="str">
        <f t="shared" si="12"/>
        <v>Responder</v>
      </c>
    </row>
    <row r="165" ht="22.5" customHeight="1">
      <c r="A165" s="3" t="s">
        <v>180</v>
      </c>
      <c r="B165" s="4">
        <v>66.0</v>
      </c>
      <c r="C165" s="3" t="s">
        <v>11</v>
      </c>
      <c r="D165" s="4">
        <v>81.86</v>
      </c>
      <c r="E165" s="4">
        <v>1.66</v>
      </c>
      <c r="F165" s="3" t="s">
        <v>12</v>
      </c>
      <c r="G165" s="3" t="s">
        <v>15</v>
      </c>
      <c r="H165" s="5">
        <f t="shared" si="11"/>
        <v>29.70677892</v>
      </c>
      <c r="I165" s="5">
        <f t="array" ref="I165">XLOOKUP(A165,protein_data!A:A,protein_data!B:B,"")</f>
        <v>100</v>
      </c>
      <c r="J165" s="5" t="str">
        <f t="shared" si="12"/>
        <v>Responder</v>
      </c>
    </row>
    <row r="166" ht="22.5" customHeight="1">
      <c r="A166" s="3" t="s">
        <v>181</v>
      </c>
      <c r="B166" s="4">
        <v>61.0</v>
      </c>
      <c r="C166" s="3" t="s">
        <v>21</v>
      </c>
      <c r="D166" s="4">
        <v>95.72</v>
      </c>
      <c r="E166" s="4">
        <v>1.75</v>
      </c>
      <c r="F166" s="3" t="s">
        <v>12</v>
      </c>
      <c r="G166" s="3" t="s">
        <v>13</v>
      </c>
      <c r="H166" s="5">
        <f t="shared" si="11"/>
        <v>31.2555102</v>
      </c>
      <c r="I166" s="5">
        <f t="array" ref="I166">XLOOKUP(A166,protein_data!A:A,protein_data!B:B,"")</f>
        <v>131</v>
      </c>
      <c r="J166" s="5" t="str">
        <f t="shared" si="12"/>
        <v>Non-Responder</v>
      </c>
    </row>
    <row r="167" ht="22.5" customHeight="1">
      <c r="A167" s="3" t="s">
        <v>182</v>
      </c>
      <c r="B167" s="4">
        <v>55.0</v>
      </c>
      <c r="C167" s="3" t="s">
        <v>21</v>
      </c>
      <c r="D167" s="4">
        <v>89.16</v>
      </c>
      <c r="E167" s="4">
        <v>1.73</v>
      </c>
      <c r="F167" s="3" t="s">
        <v>17</v>
      </c>
      <c r="G167" s="3" t="s">
        <v>13</v>
      </c>
      <c r="H167" s="5">
        <f t="shared" si="11"/>
        <v>29.79050419</v>
      </c>
      <c r="I167" s="5">
        <f t="array" ref="I167">XLOOKUP(A167,protein_data!A:A,protein_data!B:B,"")</f>
        <v>104</v>
      </c>
      <c r="J167" s="5" t="str">
        <f t="shared" si="12"/>
        <v>Non-Responder</v>
      </c>
    </row>
    <row r="168" ht="22.5" customHeight="1">
      <c r="A168" s="3" t="s">
        <v>183</v>
      </c>
      <c r="B168" s="4">
        <v>60.0</v>
      </c>
      <c r="C168" s="3" t="s">
        <v>11</v>
      </c>
      <c r="D168" s="4">
        <v>89.97</v>
      </c>
      <c r="E168" s="4">
        <v>1.66</v>
      </c>
      <c r="F168" s="3" t="s">
        <v>12</v>
      </c>
      <c r="G168" s="3" t="s">
        <v>13</v>
      </c>
      <c r="H168" s="5">
        <f t="shared" si="11"/>
        <v>32.64987661</v>
      </c>
      <c r="I168" s="5">
        <f t="array" ref="I168">XLOOKUP(A168,protein_data!A:A,protein_data!B:B,"")</f>
        <v>148</v>
      </c>
      <c r="J168" s="5" t="str">
        <f t="shared" si="12"/>
        <v>Non-Responder</v>
      </c>
    </row>
    <row r="169" ht="22.5" customHeight="1">
      <c r="A169" s="3" t="s">
        <v>184</v>
      </c>
      <c r="B169" s="4">
        <v>66.0</v>
      </c>
      <c r="C169" s="3" t="s">
        <v>11</v>
      </c>
      <c r="D169" s="4">
        <v>81.94</v>
      </c>
      <c r="E169" s="4">
        <v>1.66</v>
      </c>
      <c r="F169" s="3" t="s">
        <v>17</v>
      </c>
      <c r="G169" s="3" t="s">
        <v>13</v>
      </c>
      <c r="H169" s="5">
        <f t="shared" si="11"/>
        <v>29.73581071</v>
      </c>
      <c r="I169" s="5">
        <f t="array" ref="I169">XLOOKUP(A169,protein_data!A:A,protein_data!B:B,"")</f>
        <v>120</v>
      </c>
      <c r="J169" s="5" t="str">
        <f t="shared" si="12"/>
        <v>Non-Responder</v>
      </c>
    </row>
    <row r="170" ht="22.5" customHeight="1">
      <c r="A170" s="3" t="s">
        <v>185</v>
      </c>
      <c r="B170" s="4">
        <v>61.0</v>
      </c>
      <c r="C170" s="3" t="s">
        <v>21</v>
      </c>
      <c r="D170" s="4">
        <v>100.4</v>
      </c>
      <c r="E170" s="4">
        <v>1.78</v>
      </c>
      <c r="F170" s="3" t="s">
        <v>12</v>
      </c>
      <c r="G170" s="3" t="s">
        <v>15</v>
      </c>
      <c r="H170" s="5">
        <f t="shared" si="11"/>
        <v>31.68791819</v>
      </c>
      <c r="I170" s="5">
        <f t="array" ref="I170">XLOOKUP(A170,protein_data!A:A,protein_data!B:B,"")</f>
        <v>110</v>
      </c>
      <c r="J170" s="5" t="str">
        <f t="shared" si="12"/>
        <v>Responder</v>
      </c>
    </row>
    <row r="171" ht="22.5" customHeight="1">
      <c r="A171" s="3" t="s">
        <v>186</v>
      </c>
      <c r="B171" s="4">
        <v>58.0</v>
      </c>
      <c r="C171" s="3" t="s">
        <v>21</v>
      </c>
      <c r="D171" s="4">
        <v>89.05</v>
      </c>
      <c r="E171" s="4">
        <v>1.78</v>
      </c>
      <c r="F171" s="3" t="s">
        <v>12</v>
      </c>
      <c r="G171" s="3" t="s">
        <v>15</v>
      </c>
      <c r="H171" s="5">
        <f t="shared" si="11"/>
        <v>28.10566848</v>
      </c>
      <c r="I171" s="5">
        <f t="array" ref="I171">XLOOKUP(A171,protein_data!A:A,protein_data!B:B,"")</f>
        <v>111</v>
      </c>
      <c r="J171" s="5" t="str">
        <f t="shared" si="12"/>
        <v>Responder</v>
      </c>
    </row>
    <row r="172" ht="22.5" customHeight="1">
      <c r="A172" s="3" t="s">
        <v>187</v>
      </c>
      <c r="B172" s="4">
        <v>60.0</v>
      </c>
      <c r="C172" s="3" t="s">
        <v>11</v>
      </c>
      <c r="D172" s="4">
        <v>93.37</v>
      </c>
      <c r="E172" s="4">
        <v>1.74</v>
      </c>
      <c r="F172" s="3" t="s">
        <v>12</v>
      </c>
      <c r="G172" s="3" t="s">
        <v>15</v>
      </c>
      <c r="H172" s="5">
        <f t="shared" si="11"/>
        <v>30.83960893</v>
      </c>
      <c r="I172" s="5">
        <f t="array" ref="I172">XLOOKUP(A172,protein_data!A:A,protein_data!B:B,"")</f>
        <v>102</v>
      </c>
      <c r="J172" s="5" t="str">
        <f t="shared" si="12"/>
        <v>Responder</v>
      </c>
    </row>
    <row r="173" ht="22.5" customHeight="1">
      <c r="A173" s="3" t="s">
        <v>188</v>
      </c>
      <c r="B173" s="4">
        <v>60.0</v>
      </c>
      <c r="C173" s="3" t="s">
        <v>21</v>
      </c>
      <c r="D173" s="4">
        <v>105.31</v>
      </c>
      <c r="E173" s="4">
        <v>1.73</v>
      </c>
      <c r="F173" s="3" t="s">
        <v>17</v>
      </c>
      <c r="G173" s="3" t="s">
        <v>13</v>
      </c>
      <c r="H173" s="5">
        <f t="shared" si="11"/>
        <v>35.18660831</v>
      </c>
      <c r="I173" s="5">
        <f t="array" ref="I173">XLOOKUP(A173,protein_data!A:A,protein_data!B:B,"")</f>
        <v>134</v>
      </c>
      <c r="J173" s="5" t="str">
        <f t="shared" si="12"/>
        <v>Non-Responder</v>
      </c>
    </row>
    <row r="174" ht="22.5" customHeight="1">
      <c r="A174" s="3" t="s">
        <v>189</v>
      </c>
      <c r="B174" s="4">
        <v>62.0</v>
      </c>
      <c r="C174" s="3" t="s">
        <v>21</v>
      </c>
      <c r="D174" s="4">
        <v>91.21</v>
      </c>
      <c r="E174" s="4">
        <v>1.78</v>
      </c>
      <c r="F174" s="3" t="s">
        <v>12</v>
      </c>
      <c r="G174" s="3" t="s">
        <v>15</v>
      </c>
      <c r="H174" s="5">
        <f t="shared" si="11"/>
        <v>28.78740058</v>
      </c>
      <c r="I174" s="5">
        <f t="array" ref="I174">XLOOKUP(A174,protein_data!A:A,protein_data!B:B,"")</f>
        <v>87</v>
      </c>
      <c r="J174" s="5" t="str">
        <f t="shared" si="12"/>
        <v>Responder</v>
      </c>
    </row>
    <row r="175" ht="22.5" customHeight="1">
      <c r="A175" s="3" t="s">
        <v>190</v>
      </c>
      <c r="B175" s="4">
        <v>61.0</v>
      </c>
      <c r="C175" s="3" t="s">
        <v>11</v>
      </c>
      <c r="D175" s="4">
        <v>130.78</v>
      </c>
      <c r="E175" s="4">
        <v>1.73</v>
      </c>
      <c r="F175" s="3" t="s">
        <v>12</v>
      </c>
      <c r="G175" s="3" t="s">
        <v>15</v>
      </c>
      <c r="H175" s="5">
        <f t="shared" si="11"/>
        <v>43.69674897</v>
      </c>
      <c r="I175" s="5">
        <f t="array" ref="I175">XLOOKUP(A175,protein_data!A:A,protein_data!B:B,"")</f>
        <v>79</v>
      </c>
      <c r="J175" s="5" t="str">
        <f t="shared" si="12"/>
        <v>Responder</v>
      </c>
    </row>
    <row r="176" ht="22.5" customHeight="1">
      <c r="A176" s="3" t="s">
        <v>191</v>
      </c>
      <c r="B176" s="4">
        <v>64.0</v>
      </c>
      <c r="C176" s="3" t="s">
        <v>21</v>
      </c>
      <c r="D176" s="4">
        <v>99.63</v>
      </c>
      <c r="E176" s="4">
        <v>1.84</v>
      </c>
      <c r="F176" s="3" t="s">
        <v>12</v>
      </c>
      <c r="G176" s="3" t="s">
        <v>15</v>
      </c>
      <c r="H176" s="5">
        <f t="shared" si="11"/>
        <v>29.42757561</v>
      </c>
      <c r="I176" s="5">
        <f t="array" ref="I176">XLOOKUP(A176,protein_data!A:A,protein_data!B:B,"")</f>
        <v>75</v>
      </c>
      <c r="J176" s="5" t="str">
        <f t="shared" si="12"/>
        <v>Responder</v>
      </c>
    </row>
    <row r="177" ht="22.5" customHeight="1">
      <c r="A177" s="3" t="s">
        <v>192</v>
      </c>
      <c r="B177" s="4">
        <v>60.0</v>
      </c>
      <c r="C177" s="3" t="s">
        <v>11</v>
      </c>
      <c r="D177" s="4">
        <v>80.78</v>
      </c>
      <c r="E177" s="4">
        <v>1.57</v>
      </c>
      <c r="F177" s="3" t="s">
        <v>17</v>
      </c>
      <c r="G177" s="3" t="s">
        <v>13</v>
      </c>
      <c r="H177" s="5">
        <f t="shared" si="11"/>
        <v>32.77212057</v>
      </c>
      <c r="I177" s="5">
        <f t="array" ref="I177">XLOOKUP(A177,protein_data!A:A,protein_data!B:B,"")</f>
        <v>179</v>
      </c>
      <c r="J177" s="5" t="str">
        <f t="shared" si="12"/>
        <v>Non-Responder</v>
      </c>
    </row>
    <row r="178" ht="22.5" customHeight="1">
      <c r="A178" s="3" t="s">
        <v>193</v>
      </c>
      <c r="B178" s="4">
        <v>62.0</v>
      </c>
      <c r="C178" s="3" t="s">
        <v>21</v>
      </c>
      <c r="D178" s="4">
        <v>96.12</v>
      </c>
      <c r="E178" s="4">
        <v>1.76</v>
      </c>
      <c r="F178" s="3" t="s">
        <v>12</v>
      </c>
      <c r="G178" s="3" t="s">
        <v>15</v>
      </c>
      <c r="H178" s="5">
        <f t="shared" si="11"/>
        <v>31.03047521</v>
      </c>
      <c r="I178" s="5">
        <f t="array" ref="I178">XLOOKUP(A178,protein_data!A:A,protein_data!B:B,"")</f>
        <v>85</v>
      </c>
      <c r="J178" s="5" t="str">
        <f t="shared" si="12"/>
        <v>Responder</v>
      </c>
    </row>
    <row r="179" ht="22.5" customHeight="1">
      <c r="A179" s="3" t="s">
        <v>194</v>
      </c>
      <c r="B179" s="4">
        <v>79.0</v>
      </c>
      <c r="C179" s="3" t="s">
        <v>11</v>
      </c>
      <c r="D179" s="4">
        <v>160.12</v>
      </c>
      <c r="E179" s="4">
        <v>1.54</v>
      </c>
      <c r="F179" s="3" t="s">
        <v>12</v>
      </c>
      <c r="G179" s="3" t="s">
        <v>15</v>
      </c>
      <c r="H179" s="5">
        <f t="shared" si="11"/>
        <v>67.51560128</v>
      </c>
      <c r="I179" s="5">
        <f t="array" ref="I179">XLOOKUP(A179,protein_data!A:A,protein_data!B:B,"")</f>
        <v>129</v>
      </c>
      <c r="J179" s="5" t="str">
        <f t="shared" si="12"/>
        <v>Responder</v>
      </c>
    </row>
    <row r="180" ht="22.5" customHeight="1">
      <c r="A180" s="3" t="s">
        <v>195</v>
      </c>
      <c r="B180" s="4">
        <v>67.0</v>
      </c>
      <c r="C180" s="3" t="s">
        <v>21</v>
      </c>
      <c r="D180" s="4">
        <v>124.2</v>
      </c>
      <c r="E180" s="4">
        <v>1.67</v>
      </c>
      <c r="F180" s="3" t="s">
        <v>17</v>
      </c>
      <c r="G180" s="3" t="s">
        <v>13</v>
      </c>
      <c r="H180" s="5">
        <f t="shared" si="11"/>
        <v>44.53368712</v>
      </c>
      <c r="I180" s="5">
        <f t="array" ref="I180">XLOOKUP(A180,protein_data!A:A,protein_data!B:B,"")</f>
        <v>143</v>
      </c>
      <c r="J180" s="5" t="str">
        <f t="shared" si="12"/>
        <v>Non-Responder</v>
      </c>
    </row>
    <row r="181" ht="22.5" customHeight="1">
      <c r="A181" s="3" t="s">
        <v>196</v>
      </c>
      <c r="B181" s="4">
        <v>59.0</v>
      </c>
      <c r="C181" s="3" t="s">
        <v>21</v>
      </c>
      <c r="D181" s="4">
        <v>128.31</v>
      </c>
      <c r="E181" s="4">
        <v>1.82</v>
      </c>
      <c r="F181" s="3" t="s">
        <v>17</v>
      </c>
      <c r="G181" s="3" t="s">
        <v>15</v>
      </c>
      <c r="H181" s="5">
        <f t="shared" si="11"/>
        <v>38.73626374</v>
      </c>
      <c r="I181" s="5">
        <f t="array" ref="I181">XLOOKUP(A181,protein_data!A:A,protein_data!B:B,"")</f>
        <v>130</v>
      </c>
      <c r="J181" s="5" t="str">
        <f t="shared" si="12"/>
        <v>Responder</v>
      </c>
    </row>
    <row r="182" ht="22.5" customHeight="1">
      <c r="A182" s="3" t="s">
        <v>197</v>
      </c>
      <c r="B182" s="4">
        <v>61.0</v>
      </c>
      <c r="C182" s="3" t="s">
        <v>21</v>
      </c>
      <c r="D182" s="4">
        <v>72.57</v>
      </c>
      <c r="E182" s="4">
        <v>1.78</v>
      </c>
      <c r="F182" s="3" t="s">
        <v>17</v>
      </c>
      <c r="G182" s="3" t="s">
        <v>13</v>
      </c>
      <c r="H182" s="5">
        <f t="shared" si="11"/>
        <v>22.90430501</v>
      </c>
      <c r="I182" s="5">
        <f t="array" ref="I182">XLOOKUP(A182,protein_data!A:A,protein_data!B:B,"")</f>
        <v>87</v>
      </c>
      <c r="J182" s="5" t="str">
        <f t="shared" si="12"/>
        <v>Non-Responder</v>
      </c>
    </row>
    <row r="183" ht="22.5" customHeight="1">
      <c r="A183" s="3" t="s">
        <v>198</v>
      </c>
      <c r="B183" s="4">
        <v>65.0</v>
      </c>
      <c r="C183" s="3" t="s">
        <v>11</v>
      </c>
      <c r="D183" s="4">
        <v>88.64</v>
      </c>
      <c r="E183" s="4">
        <v>1.59</v>
      </c>
      <c r="F183" s="3" t="s">
        <v>12</v>
      </c>
      <c r="G183" s="3" t="s">
        <v>15</v>
      </c>
      <c r="H183" s="5">
        <f t="shared" si="11"/>
        <v>35.0619042</v>
      </c>
      <c r="I183" s="5">
        <f t="array" ref="I183">XLOOKUP(A183,protein_data!A:A,protein_data!B:B,"")</f>
        <v>119</v>
      </c>
      <c r="J183" s="5" t="str">
        <f t="shared" si="12"/>
        <v>Responder</v>
      </c>
    </row>
    <row r="184" ht="22.5" customHeight="1">
      <c r="A184" s="3" t="s">
        <v>199</v>
      </c>
      <c r="B184" s="4">
        <v>56.0</v>
      </c>
      <c r="C184" s="3" t="s">
        <v>21</v>
      </c>
      <c r="D184" s="4">
        <v>91.92</v>
      </c>
      <c r="E184" s="4">
        <v>1.83</v>
      </c>
      <c r="F184" s="3" t="s">
        <v>12</v>
      </c>
      <c r="G184" s="3" t="s">
        <v>13</v>
      </c>
      <c r="H184" s="5">
        <f t="shared" si="11"/>
        <v>27.44781869</v>
      </c>
      <c r="I184" s="5" t="str">
        <f t="array" ref="I184">XLOOKUP(A184,protein_data!A:A,protein_data!B:B,"")</f>
        <v>NA</v>
      </c>
      <c r="J184" s="5" t="str">
        <f t="shared" si="12"/>
        <v>Non-Responder</v>
      </c>
    </row>
    <row r="185" ht="22.5" customHeight="1">
      <c r="A185" s="3" t="s">
        <v>200</v>
      </c>
      <c r="B185" s="4">
        <v>69.0</v>
      </c>
      <c r="C185" s="3" t="s">
        <v>21</v>
      </c>
      <c r="D185" s="4">
        <v>79.97</v>
      </c>
      <c r="E185" s="4">
        <v>1.73</v>
      </c>
      <c r="F185" s="3" t="s">
        <v>17</v>
      </c>
      <c r="G185" s="3" t="s">
        <v>15</v>
      </c>
      <c r="H185" s="5">
        <f t="shared" si="11"/>
        <v>26.71990377</v>
      </c>
      <c r="I185" s="5">
        <f t="array" ref="I185">XLOOKUP(A185,protein_data!A:A,protein_data!B:B,"")</f>
        <v>73</v>
      </c>
      <c r="J185" s="5" t="str">
        <f t="shared" si="12"/>
        <v>Responder</v>
      </c>
    </row>
    <row r="186" ht="22.5" customHeight="1">
      <c r="A186" s="3" t="s">
        <v>201</v>
      </c>
      <c r="B186" s="4">
        <v>66.0</v>
      </c>
      <c r="C186" s="3" t="s">
        <v>21</v>
      </c>
      <c r="D186" s="4">
        <v>80.46</v>
      </c>
      <c r="E186" s="4">
        <v>1.71</v>
      </c>
      <c r="F186" s="3" t="s">
        <v>12</v>
      </c>
      <c r="G186" s="3" t="s">
        <v>13</v>
      </c>
      <c r="H186" s="5">
        <f t="shared" si="11"/>
        <v>27.51615882</v>
      </c>
      <c r="I186" s="5">
        <f t="array" ref="I186">XLOOKUP(A186,protein_data!A:A,protein_data!B:B,"")</f>
        <v>141</v>
      </c>
      <c r="J186" s="5" t="str">
        <f t="shared" si="12"/>
        <v>Non-Responder</v>
      </c>
    </row>
    <row r="187" ht="22.5" customHeight="1">
      <c r="A187" s="3" t="s">
        <v>202</v>
      </c>
      <c r="B187" s="4">
        <v>64.0</v>
      </c>
      <c r="C187" s="3" t="s">
        <v>21</v>
      </c>
      <c r="D187" s="4">
        <v>102.83</v>
      </c>
      <c r="E187" s="4">
        <v>1.7</v>
      </c>
      <c r="F187" s="3" t="s">
        <v>17</v>
      </c>
      <c r="G187" s="3" t="s">
        <v>13</v>
      </c>
      <c r="H187" s="5">
        <f t="shared" si="11"/>
        <v>35.58131488</v>
      </c>
      <c r="I187" s="5">
        <f t="array" ref="I187">XLOOKUP(A187,protein_data!A:A,protein_data!B:B,"")</f>
        <v>194</v>
      </c>
      <c r="J187" s="5" t="str">
        <f t="shared" si="12"/>
        <v>Non-Responder</v>
      </c>
    </row>
    <row r="188" ht="22.5" customHeight="1">
      <c r="A188" s="3" t="s">
        <v>203</v>
      </c>
      <c r="B188" s="4">
        <v>73.0</v>
      </c>
      <c r="C188" s="3" t="s">
        <v>21</v>
      </c>
      <c r="D188" s="4">
        <v>83.19</v>
      </c>
      <c r="E188" s="4">
        <v>1.67</v>
      </c>
      <c r="F188" s="3" t="s">
        <v>12</v>
      </c>
      <c r="G188" s="3" t="s">
        <v>13</v>
      </c>
      <c r="H188" s="5">
        <f t="shared" si="11"/>
        <v>29.82896482</v>
      </c>
      <c r="I188" s="5">
        <f t="array" ref="I188">XLOOKUP(A188,protein_data!A:A,protein_data!B:B,"")</f>
        <v>181</v>
      </c>
      <c r="J188" s="5" t="str">
        <f t="shared" si="12"/>
        <v>Non-Responder</v>
      </c>
    </row>
    <row r="189" ht="22.5" customHeight="1">
      <c r="A189" s="3" t="s">
        <v>204</v>
      </c>
      <c r="B189" s="4">
        <v>63.0</v>
      </c>
      <c r="C189" s="3" t="s">
        <v>21</v>
      </c>
      <c r="D189" s="4">
        <v>111.28</v>
      </c>
      <c r="E189" s="4">
        <v>1.87</v>
      </c>
      <c r="F189" s="3" t="s">
        <v>17</v>
      </c>
      <c r="G189" s="3" t="s">
        <v>13</v>
      </c>
      <c r="H189" s="5">
        <f t="shared" si="11"/>
        <v>31.82247133</v>
      </c>
      <c r="I189" s="5">
        <f t="array" ref="I189">XLOOKUP(A189,protein_data!A:A,protein_data!B:B,"")</f>
        <v>128</v>
      </c>
      <c r="J189" s="5" t="str">
        <f t="shared" si="12"/>
        <v>Non-Responder</v>
      </c>
    </row>
    <row r="190" ht="22.5" customHeight="1">
      <c r="A190" s="3" t="s">
        <v>205</v>
      </c>
      <c r="B190" s="4">
        <v>55.0</v>
      </c>
      <c r="C190" s="3" t="s">
        <v>11</v>
      </c>
      <c r="D190" s="4">
        <v>79.64</v>
      </c>
      <c r="E190" s="4">
        <v>1.69</v>
      </c>
      <c r="F190" s="3" t="s">
        <v>12</v>
      </c>
      <c r="G190" s="3" t="s">
        <v>15</v>
      </c>
      <c r="H190" s="5">
        <f t="shared" si="11"/>
        <v>27.88417772</v>
      </c>
      <c r="I190" s="5">
        <f t="array" ref="I190">XLOOKUP(A190,protein_data!A:A,protein_data!B:B,"")</f>
        <v>109</v>
      </c>
      <c r="J190" s="5" t="str">
        <f t="shared" si="12"/>
        <v>Responder</v>
      </c>
    </row>
    <row r="191" ht="22.5" customHeight="1">
      <c r="A191" s="3" t="s">
        <v>206</v>
      </c>
      <c r="B191" s="4">
        <v>67.0</v>
      </c>
      <c r="C191" s="3" t="s">
        <v>11</v>
      </c>
      <c r="D191" s="4">
        <v>83.6</v>
      </c>
      <c r="E191" s="4">
        <v>1.63</v>
      </c>
      <c r="F191" s="3" t="s">
        <v>17</v>
      </c>
      <c r="G191" s="3" t="s">
        <v>13</v>
      </c>
      <c r="H191" s="5">
        <f t="shared" si="11"/>
        <v>31.46524145</v>
      </c>
      <c r="I191" s="5">
        <f t="array" ref="I191">XLOOKUP(A191,protein_data!A:A,protein_data!B:B,"")</f>
        <v>139</v>
      </c>
      <c r="J191" s="5" t="str">
        <f t="shared" si="12"/>
        <v>Non-Responder</v>
      </c>
    </row>
    <row r="192" ht="22.5" customHeight="1">
      <c r="A192" s="3" t="s">
        <v>207</v>
      </c>
      <c r="B192" s="4">
        <v>55.0</v>
      </c>
      <c r="C192" s="3" t="s">
        <v>21</v>
      </c>
      <c r="D192" s="4">
        <v>70.25</v>
      </c>
      <c r="E192" s="4">
        <v>1.77</v>
      </c>
      <c r="F192" s="3" t="s">
        <v>17</v>
      </c>
      <c r="G192" s="3" t="s">
        <v>13</v>
      </c>
      <c r="H192" s="5">
        <f t="shared" si="11"/>
        <v>22.42331386</v>
      </c>
      <c r="I192" s="5">
        <f t="array" ref="I192">XLOOKUP(A192,protein_data!A:A,protein_data!B:B,"")</f>
        <v>111</v>
      </c>
      <c r="J192" s="5" t="str">
        <f t="shared" si="12"/>
        <v>Non-Responder</v>
      </c>
    </row>
    <row r="193" ht="22.5" customHeight="1">
      <c r="A193" s="3" t="s">
        <v>208</v>
      </c>
      <c r="B193" s="4">
        <v>68.0</v>
      </c>
      <c r="C193" s="3" t="s">
        <v>21</v>
      </c>
      <c r="D193" s="4">
        <v>103.16</v>
      </c>
      <c r="E193" s="4">
        <v>1.77</v>
      </c>
      <c r="F193" s="3" t="s">
        <v>12</v>
      </c>
      <c r="G193" s="3" t="s">
        <v>13</v>
      </c>
      <c r="H193" s="5">
        <f t="shared" si="11"/>
        <v>32.92795812</v>
      </c>
      <c r="I193" s="5">
        <f t="array" ref="I193">XLOOKUP(A193,protein_data!A:A,protein_data!B:B,"")</f>
        <v>123</v>
      </c>
      <c r="J193" s="5" t="str">
        <f t="shared" si="12"/>
        <v>Non-Responder</v>
      </c>
    </row>
    <row r="194" ht="22.5" customHeight="1">
      <c r="A194" s="3" t="s">
        <v>209</v>
      </c>
      <c r="B194" s="4">
        <v>43.0</v>
      </c>
      <c r="C194" s="3" t="s">
        <v>11</v>
      </c>
      <c r="D194" s="4">
        <v>71.38</v>
      </c>
      <c r="E194" s="4">
        <v>1.53</v>
      </c>
      <c r="F194" s="3" t="s">
        <v>17</v>
      </c>
      <c r="G194" s="3" t="s">
        <v>13</v>
      </c>
      <c r="H194" s="5">
        <f t="shared" si="11"/>
        <v>30.4925456</v>
      </c>
      <c r="I194" s="5">
        <f t="array" ref="I194">XLOOKUP(A194,protein_data!A:A,protein_data!B:B,"")</f>
        <v>159</v>
      </c>
      <c r="J194" s="5" t="str">
        <f t="shared" si="12"/>
        <v>Non-Responder</v>
      </c>
    </row>
    <row r="195" ht="22.5" customHeight="1">
      <c r="A195" s="3" t="s">
        <v>210</v>
      </c>
      <c r="B195" s="4">
        <v>57.0</v>
      </c>
      <c r="C195" s="3" t="s">
        <v>21</v>
      </c>
      <c r="D195" s="4">
        <v>165.66</v>
      </c>
      <c r="E195" s="4">
        <v>1.79</v>
      </c>
      <c r="F195" s="3" t="s">
        <v>17</v>
      </c>
      <c r="G195" s="3" t="s">
        <v>13</v>
      </c>
      <c r="H195" s="5">
        <f t="shared" si="11"/>
        <v>51.70250616</v>
      </c>
      <c r="I195" s="5">
        <f t="array" ref="I195">XLOOKUP(A195,protein_data!A:A,protein_data!B:B,"")</f>
        <v>135</v>
      </c>
      <c r="J195" s="5" t="str">
        <f t="shared" si="12"/>
        <v>Non-Responder</v>
      </c>
    </row>
    <row r="196" ht="22.5" customHeight="1">
      <c r="A196" s="3" t="s">
        <v>211</v>
      </c>
      <c r="B196" s="4">
        <v>65.0</v>
      </c>
      <c r="C196" s="3" t="s">
        <v>21</v>
      </c>
      <c r="D196" s="4">
        <v>73.65</v>
      </c>
      <c r="E196" s="4">
        <v>1.74</v>
      </c>
      <c r="F196" s="3" t="s">
        <v>17</v>
      </c>
      <c r="G196" s="3" t="s">
        <v>15</v>
      </c>
      <c r="H196" s="5">
        <f t="shared" si="11"/>
        <v>24.32619897</v>
      </c>
      <c r="I196" s="5">
        <f t="array" ref="I196">XLOOKUP(A196,protein_data!A:A,protein_data!B:B,"")</f>
        <v>85</v>
      </c>
      <c r="J196" s="5" t="str">
        <f t="shared" si="12"/>
        <v>Responder</v>
      </c>
    </row>
    <row r="197" ht="22.5" customHeight="1">
      <c r="A197" s="3" t="s">
        <v>212</v>
      </c>
      <c r="B197" s="4">
        <v>57.0</v>
      </c>
      <c r="C197" s="3" t="s">
        <v>21</v>
      </c>
      <c r="D197" s="4">
        <v>135.89</v>
      </c>
      <c r="E197" s="4">
        <v>1.86</v>
      </c>
      <c r="F197" s="3" t="s">
        <v>17</v>
      </c>
      <c r="G197" s="3" t="s">
        <v>13</v>
      </c>
      <c r="H197" s="5">
        <f t="shared" si="11"/>
        <v>39.27910741</v>
      </c>
      <c r="I197" s="5">
        <f t="array" ref="I197">XLOOKUP(A197,protein_data!A:A,protein_data!B:B,"")</f>
        <v>158</v>
      </c>
      <c r="J197" s="5" t="str">
        <f t="shared" si="12"/>
        <v>Non-Responder</v>
      </c>
    </row>
    <row r="198" ht="22.5" customHeight="1">
      <c r="A198" s="3" t="s">
        <v>213</v>
      </c>
      <c r="B198" s="4">
        <v>67.0</v>
      </c>
      <c r="C198" s="3" t="s">
        <v>21</v>
      </c>
      <c r="D198" s="4">
        <v>73.06</v>
      </c>
      <c r="E198" s="4">
        <v>1.74</v>
      </c>
      <c r="F198" s="3" t="s">
        <v>17</v>
      </c>
      <c r="G198" s="3" t="s">
        <v>13</v>
      </c>
      <c r="H198" s="5">
        <f t="shared" si="11"/>
        <v>24.13132514</v>
      </c>
      <c r="I198" s="5">
        <f t="array" ref="I198">XLOOKUP(A198,protein_data!A:A,protein_data!B:B,"")</f>
        <v>105</v>
      </c>
      <c r="J198" s="5" t="str">
        <f t="shared" si="12"/>
        <v>Non-Responder</v>
      </c>
    </row>
    <row r="199" ht="22.5" customHeight="1">
      <c r="A199" s="3" t="s">
        <v>214</v>
      </c>
      <c r="B199" s="4">
        <v>55.0</v>
      </c>
      <c r="C199" s="3" t="s">
        <v>11</v>
      </c>
      <c r="D199" s="4">
        <v>61.06</v>
      </c>
      <c r="E199" s="4">
        <v>1.63</v>
      </c>
      <c r="F199" s="3" t="s">
        <v>12</v>
      </c>
      <c r="G199" s="3" t="s">
        <v>15</v>
      </c>
      <c r="H199" s="5">
        <f t="shared" si="11"/>
        <v>22.98167037</v>
      </c>
      <c r="I199" s="5">
        <f t="array" ref="I199">XLOOKUP(A199,protein_data!A:A,protein_data!B:B,"")</f>
        <v>107</v>
      </c>
      <c r="J199" s="5" t="str">
        <f t="shared" si="12"/>
        <v>Responder</v>
      </c>
    </row>
    <row r="200" ht="22.5" customHeight="1">
      <c r="A200" s="3" t="s">
        <v>215</v>
      </c>
      <c r="B200" s="4">
        <v>58.0</v>
      </c>
      <c r="C200" s="3" t="s">
        <v>11</v>
      </c>
      <c r="D200" s="4">
        <v>103.45</v>
      </c>
      <c r="E200" s="4">
        <v>1.72</v>
      </c>
      <c r="F200" s="3" t="s">
        <v>17</v>
      </c>
      <c r="G200" s="3" t="s">
        <v>13</v>
      </c>
      <c r="H200" s="5">
        <f t="shared" si="11"/>
        <v>34.96822607</v>
      </c>
      <c r="I200" s="5">
        <f t="array" ref="I200">XLOOKUP(A200,protein_data!A:A,protein_data!B:B,"")</f>
        <v>109</v>
      </c>
      <c r="J200" s="5" t="str">
        <f t="shared" si="12"/>
        <v>Non-Responder</v>
      </c>
    </row>
    <row r="201" ht="22.5" customHeight="1">
      <c r="A201" s="3" t="s">
        <v>216</v>
      </c>
      <c r="B201" s="4">
        <v>64.0</v>
      </c>
      <c r="C201" s="3" t="s">
        <v>21</v>
      </c>
      <c r="D201" s="4">
        <v>95.59</v>
      </c>
      <c r="E201" s="4">
        <v>1.77</v>
      </c>
      <c r="F201" s="3" t="s">
        <v>12</v>
      </c>
      <c r="G201" s="3" t="s">
        <v>13</v>
      </c>
      <c r="H201" s="5">
        <f t="shared" si="11"/>
        <v>30.51166651</v>
      </c>
      <c r="I201" s="5">
        <f t="array" ref="I201">XLOOKUP(A201,protein_data!A:A,protein_data!B:B,"")</f>
        <v>148</v>
      </c>
      <c r="J201" s="5" t="str">
        <f t="shared" si="12"/>
        <v>Non-Responder</v>
      </c>
    </row>
    <row r="202" ht="22.5" customHeight="1">
      <c r="A202" s="3" t="s">
        <v>217</v>
      </c>
      <c r="B202" s="4">
        <v>73.0</v>
      </c>
      <c r="C202" s="3" t="s">
        <v>21</v>
      </c>
      <c r="D202" s="4">
        <v>91.54</v>
      </c>
      <c r="E202" s="4">
        <v>1.73</v>
      </c>
      <c r="F202" s="3" t="s">
        <v>12</v>
      </c>
      <c r="G202" s="3" t="s">
        <v>15</v>
      </c>
      <c r="H202" s="5">
        <f t="shared" si="11"/>
        <v>30.58571954</v>
      </c>
      <c r="I202" s="5">
        <f t="array" ref="I202">XLOOKUP(A202,protein_data!A:A,protein_data!B:B,"")</f>
        <v>113</v>
      </c>
      <c r="J202" s="5" t="str">
        <f t="shared" si="12"/>
        <v>Responder</v>
      </c>
    </row>
    <row r="203" ht="22.5" customHeight="1">
      <c r="A203" s="3" t="s">
        <v>218</v>
      </c>
      <c r="B203" s="4">
        <v>71.0</v>
      </c>
      <c r="C203" s="3" t="s">
        <v>11</v>
      </c>
      <c r="D203" s="4">
        <v>93.36</v>
      </c>
      <c r="E203" s="4">
        <v>1.53</v>
      </c>
      <c r="F203" s="3" t="s">
        <v>17</v>
      </c>
      <c r="G203" s="3" t="s">
        <v>13</v>
      </c>
      <c r="H203" s="5">
        <f t="shared" si="11"/>
        <v>39.88209663</v>
      </c>
      <c r="I203" s="5">
        <f t="array" ref="I203">XLOOKUP(A203,protein_data!A:A,protein_data!B:B,"")</f>
        <v>138</v>
      </c>
      <c r="J203" s="5" t="str">
        <f t="shared" si="12"/>
        <v>Non-Responder</v>
      </c>
    </row>
    <row r="204" ht="22.5" customHeight="1">
      <c r="A204" s="3" t="s">
        <v>219</v>
      </c>
      <c r="B204" s="4">
        <v>57.0</v>
      </c>
      <c r="C204" s="3" t="s">
        <v>21</v>
      </c>
      <c r="D204" s="4">
        <v>85.8</v>
      </c>
      <c r="E204" s="4">
        <v>1.78</v>
      </c>
      <c r="F204" s="3" t="s">
        <v>12</v>
      </c>
      <c r="G204" s="3" t="s">
        <v>15</v>
      </c>
      <c r="H204" s="5">
        <f t="shared" si="11"/>
        <v>27.07991415</v>
      </c>
      <c r="I204" s="5">
        <f t="array" ref="I204">XLOOKUP(A204,protein_data!A:A,protein_data!B:B,"")</f>
        <v>108</v>
      </c>
      <c r="J204" s="5" t="str">
        <f t="shared" si="12"/>
        <v>Responder</v>
      </c>
    </row>
    <row r="205" ht="22.5" customHeight="1">
      <c r="A205" s="3" t="s">
        <v>220</v>
      </c>
      <c r="B205" s="4">
        <v>70.0</v>
      </c>
      <c r="C205" s="3" t="s">
        <v>21</v>
      </c>
      <c r="D205" s="4">
        <v>69.74</v>
      </c>
      <c r="E205" s="4">
        <v>1.86</v>
      </c>
      <c r="F205" s="3" t="s">
        <v>12</v>
      </c>
      <c r="G205" s="3" t="s">
        <v>15</v>
      </c>
      <c r="H205" s="5">
        <f t="shared" si="11"/>
        <v>20.15839982</v>
      </c>
      <c r="I205" s="5">
        <f t="array" ref="I205">XLOOKUP(A205,protein_data!A:A,protein_data!B:B,"")</f>
        <v>99</v>
      </c>
      <c r="J205" s="5" t="str">
        <f t="shared" si="12"/>
        <v>Responder</v>
      </c>
    </row>
    <row r="206" ht="22.5" customHeight="1">
      <c r="A206" s="3" t="s">
        <v>221</v>
      </c>
      <c r="B206" s="4">
        <v>63.0</v>
      </c>
      <c r="C206" s="3" t="s">
        <v>11</v>
      </c>
      <c r="D206" s="4">
        <v>107.51</v>
      </c>
      <c r="E206" s="4">
        <v>1.69</v>
      </c>
      <c r="F206" s="3" t="s">
        <v>12</v>
      </c>
      <c r="G206" s="3" t="s">
        <v>15</v>
      </c>
      <c r="H206" s="5">
        <f t="shared" si="11"/>
        <v>37.64223942</v>
      </c>
      <c r="I206" s="5">
        <f t="array" ref="I206">XLOOKUP(A206,protein_data!A:A,protein_data!B:B,"")</f>
        <v>103</v>
      </c>
      <c r="J206" s="5" t="str">
        <f t="shared" si="12"/>
        <v>Responder</v>
      </c>
    </row>
    <row r="207" ht="22.5" customHeight="1">
      <c r="A207" s="3" t="s">
        <v>222</v>
      </c>
      <c r="B207" s="4">
        <v>67.0</v>
      </c>
      <c r="C207" s="3" t="s">
        <v>21</v>
      </c>
      <c r="D207" s="4">
        <v>70.09</v>
      </c>
      <c r="E207" s="4">
        <v>1.72</v>
      </c>
      <c r="F207" s="3" t="s">
        <v>12</v>
      </c>
      <c r="G207" s="3" t="s">
        <v>13</v>
      </c>
      <c r="H207" s="5">
        <f t="shared" si="11"/>
        <v>23.69186047</v>
      </c>
      <c r="I207" s="5">
        <f t="array" ref="I207">XLOOKUP(A207,protein_data!A:A,protein_data!B:B,"")</f>
        <v>111</v>
      </c>
      <c r="J207" s="5" t="str">
        <f t="shared" si="12"/>
        <v>Non-Responder</v>
      </c>
    </row>
    <row r="208" ht="22.5" customHeight="1">
      <c r="A208" s="3" t="s">
        <v>223</v>
      </c>
      <c r="B208" s="4">
        <v>56.0</v>
      </c>
      <c r="C208" s="3" t="s">
        <v>11</v>
      </c>
      <c r="D208" s="4">
        <v>99.76</v>
      </c>
      <c r="E208" s="4">
        <v>1.63</v>
      </c>
      <c r="F208" s="3" t="s">
        <v>17</v>
      </c>
      <c r="G208" s="3" t="s">
        <v>13</v>
      </c>
      <c r="H208" s="5">
        <f t="shared" si="11"/>
        <v>37.54751778</v>
      </c>
      <c r="I208" s="5">
        <f t="array" ref="I208">XLOOKUP(A208,protein_data!A:A,protein_data!B:B,"")</f>
        <v>196</v>
      </c>
      <c r="J208" s="5" t="str">
        <f t="shared" si="12"/>
        <v>Non-Responder</v>
      </c>
    </row>
    <row r="209" ht="22.5" customHeight="1">
      <c r="A209" s="3" t="s">
        <v>224</v>
      </c>
      <c r="B209" s="4">
        <v>44.0</v>
      </c>
      <c r="C209" s="3" t="s">
        <v>11</v>
      </c>
      <c r="D209" s="4">
        <v>102.9</v>
      </c>
      <c r="E209" s="4">
        <v>1.65</v>
      </c>
      <c r="F209" s="3" t="s">
        <v>17</v>
      </c>
      <c r="G209" s="3" t="s">
        <v>15</v>
      </c>
      <c r="H209" s="5">
        <f t="shared" si="11"/>
        <v>37.79614325</v>
      </c>
      <c r="I209" s="5">
        <f t="array" ref="I209">XLOOKUP(A209,protein_data!A:A,protein_data!B:B,"")</f>
        <v>162</v>
      </c>
      <c r="J209" s="5" t="str">
        <f t="shared" si="12"/>
        <v>Responder</v>
      </c>
    </row>
    <row r="210" ht="22.5" customHeight="1">
      <c r="A210" s="3" t="s">
        <v>225</v>
      </c>
      <c r="B210" s="4">
        <v>69.0</v>
      </c>
      <c r="C210" s="3" t="s">
        <v>21</v>
      </c>
      <c r="D210" s="4">
        <v>101.76</v>
      </c>
      <c r="E210" s="4">
        <v>1.76</v>
      </c>
      <c r="F210" s="3" t="s">
        <v>17</v>
      </c>
      <c r="G210" s="3" t="s">
        <v>13</v>
      </c>
      <c r="H210" s="5">
        <f t="shared" si="11"/>
        <v>32.85123967</v>
      </c>
      <c r="I210" s="5">
        <f t="array" ref="I210">XLOOKUP(A210,protein_data!A:A,protein_data!B:B,"")</f>
        <v>96</v>
      </c>
      <c r="J210" s="5" t="str">
        <f t="shared" si="12"/>
        <v>Non-Responder</v>
      </c>
    </row>
    <row r="211" ht="22.5" customHeight="1">
      <c r="A211" s="3" t="s">
        <v>226</v>
      </c>
      <c r="B211" s="4">
        <v>67.0</v>
      </c>
      <c r="C211" s="3" t="s">
        <v>11</v>
      </c>
      <c r="D211" s="4">
        <v>91.35</v>
      </c>
      <c r="E211" s="4">
        <v>1.6</v>
      </c>
      <c r="F211" s="3" t="s">
        <v>12</v>
      </c>
      <c r="G211" s="3" t="s">
        <v>13</v>
      </c>
      <c r="H211" s="5">
        <f t="shared" si="11"/>
        <v>35.68359375</v>
      </c>
      <c r="I211" s="5">
        <f t="array" ref="I211">XLOOKUP(A211,protein_data!A:A,protein_data!B:B,"")</f>
        <v>184</v>
      </c>
      <c r="J211" s="5" t="str">
        <f t="shared" si="12"/>
        <v>Non-Responder</v>
      </c>
    </row>
    <row r="212" ht="22.5" customHeight="1">
      <c r="A212" s="3" t="s">
        <v>227</v>
      </c>
      <c r="B212" s="4">
        <v>67.0</v>
      </c>
      <c r="C212" s="3" t="s">
        <v>11</v>
      </c>
      <c r="D212" s="4">
        <v>71.56</v>
      </c>
      <c r="E212" s="4">
        <v>1.61</v>
      </c>
      <c r="F212" s="3" t="s">
        <v>17</v>
      </c>
      <c r="G212" s="3" t="s">
        <v>15</v>
      </c>
      <c r="H212" s="5">
        <f t="shared" si="11"/>
        <v>27.60695961</v>
      </c>
      <c r="I212" s="5">
        <f t="array" ref="I212">XLOOKUP(A212,protein_data!A:A,protein_data!B:B,"")</f>
        <v>81</v>
      </c>
      <c r="J212" s="5" t="str">
        <f t="shared" si="12"/>
        <v>Responder</v>
      </c>
    </row>
    <row r="213" ht="22.5" customHeight="1">
      <c r="A213" s="3" t="s">
        <v>228</v>
      </c>
      <c r="B213" s="4">
        <v>72.0</v>
      </c>
      <c r="C213" s="3" t="s">
        <v>21</v>
      </c>
      <c r="D213" s="4">
        <v>135.27</v>
      </c>
      <c r="E213" s="4">
        <v>1.79</v>
      </c>
      <c r="F213" s="3" t="s">
        <v>17</v>
      </c>
      <c r="G213" s="3" t="s">
        <v>13</v>
      </c>
      <c r="H213" s="5">
        <f t="shared" si="11"/>
        <v>42.21778346</v>
      </c>
      <c r="I213" s="5">
        <f t="array" ref="I213">XLOOKUP(A213,protein_data!A:A,protein_data!B:B,"")</f>
        <v>147</v>
      </c>
      <c r="J213" s="5" t="str">
        <f t="shared" si="12"/>
        <v>Non-Responder</v>
      </c>
    </row>
    <row r="214" ht="22.5" customHeight="1">
      <c r="A214" s="3" t="s">
        <v>229</v>
      </c>
      <c r="B214" s="4">
        <v>64.0</v>
      </c>
      <c r="C214" s="3" t="s">
        <v>11</v>
      </c>
      <c r="D214" s="4">
        <v>89.91</v>
      </c>
      <c r="E214" s="4">
        <v>1.62</v>
      </c>
      <c r="F214" s="3" t="s">
        <v>17</v>
      </c>
      <c r="G214" s="3" t="s">
        <v>13</v>
      </c>
      <c r="H214" s="5">
        <f t="shared" si="11"/>
        <v>34.25925926</v>
      </c>
      <c r="I214" s="5">
        <f t="array" ref="I214">XLOOKUP(A214,protein_data!A:A,protein_data!B:B,"")</f>
        <v>179</v>
      </c>
      <c r="J214" s="5" t="str">
        <f t="shared" si="12"/>
        <v>Non-Responder</v>
      </c>
    </row>
    <row r="215" ht="22.5" customHeight="1">
      <c r="A215" s="3" t="s">
        <v>230</v>
      </c>
      <c r="B215" s="4">
        <v>58.0</v>
      </c>
      <c r="C215" s="3" t="s">
        <v>21</v>
      </c>
      <c r="D215" s="4">
        <v>127.96</v>
      </c>
      <c r="E215" s="4">
        <v>1.74</v>
      </c>
      <c r="F215" s="3" t="s">
        <v>17</v>
      </c>
      <c r="G215" s="3" t="s">
        <v>13</v>
      </c>
      <c r="H215" s="5">
        <f t="shared" si="11"/>
        <v>42.26449993</v>
      </c>
      <c r="I215" s="5">
        <f t="array" ref="I215">XLOOKUP(A215,protein_data!A:A,protein_data!B:B,"")</f>
        <v>140</v>
      </c>
      <c r="J215" s="5" t="str">
        <f t="shared" si="12"/>
        <v>Non-Responder</v>
      </c>
    </row>
    <row r="216" ht="22.5" customHeight="1">
      <c r="A216" s="3" t="s">
        <v>231</v>
      </c>
      <c r="B216" s="4">
        <v>59.0</v>
      </c>
      <c r="C216" s="3" t="s">
        <v>21</v>
      </c>
      <c r="D216" s="4">
        <v>96.53</v>
      </c>
      <c r="E216" s="4">
        <v>1.69</v>
      </c>
      <c r="F216" s="3" t="s">
        <v>17</v>
      </c>
      <c r="G216" s="3" t="s">
        <v>13</v>
      </c>
      <c r="H216" s="5">
        <f t="shared" si="11"/>
        <v>33.79783621</v>
      </c>
      <c r="I216" s="5">
        <f t="array" ref="I216">XLOOKUP(A216,protein_data!A:A,protein_data!B:B,"")</f>
        <v>112</v>
      </c>
      <c r="J216" s="5" t="str">
        <f t="shared" si="12"/>
        <v>Non-Responder</v>
      </c>
    </row>
    <row r="217" ht="22.5" customHeight="1">
      <c r="A217" s="3" t="s">
        <v>232</v>
      </c>
      <c r="B217" s="4">
        <v>69.0</v>
      </c>
      <c r="C217" s="3" t="s">
        <v>11</v>
      </c>
      <c r="D217" s="4">
        <v>108.85</v>
      </c>
      <c r="E217" s="4">
        <v>1.61</v>
      </c>
      <c r="F217" s="3" t="s">
        <v>17</v>
      </c>
      <c r="G217" s="3" t="s">
        <v>13</v>
      </c>
      <c r="H217" s="5">
        <f t="shared" si="11"/>
        <v>41.99297867</v>
      </c>
      <c r="I217" s="5">
        <f t="array" ref="I217">XLOOKUP(A217,protein_data!A:A,protein_data!B:B,"")</f>
        <v>151</v>
      </c>
      <c r="J217" s="5" t="str">
        <f t="shared" si="12"/>
        <v>Non-Responder</v>
      </c>
    </row>
    <row r="218" ht="22.5" customHeight="1">
      <c r="A218" s="3" t="s">
        <v>233</v>
      </c>
      <c r="B218" s="4">
        <v>62.0</v>
      </c>
      <c r="C218" s="3" t="s">
        <v>11</v>
      </c>
      <c r="D218" s="4">
        <v>93.14</v>
      </c>
      <c r="E218" s="4">
        <v>1.61</v>
      </c>
      <c r="F218" s="3" t="s">
        <v>17</v>
      </c>
      <c r="G218" s="3" t="s">
        <v>15</v>
      </c>
      <c r="H218" s="5">
        <f t="shared" si="11"/>
        <v>35.9322557</v>
      </c>
      <c r="I218" s="5">
        <f t="array" ref="I218">XLOOKUP(A218,protein_data!A:A,protein_data!B:B,"")</f>
        <v>109</v>
      </c>
      <c r="J218" s="5" t="str">
        <f t="shared" si="12"/>
        <v>Responder</v>
      </c>
    </row>
    <row r="219" ht="22.5" customHeight="1">
      <c r="A219" s="3" t="s">
        <v>234</v>
      </c>
      <c r="B219" s="4">
        <v>67.0</v>
      </c>
      <c r="C219" s="3" t="s">
        <v>21</v>
      </c>
      <c r="D219" s="4">
        <v>90.78</v>
      </c>
      <c r="E219" s="4">
        <v>1.75</v>
      </c>
      <c r="F219" s="3" t="s">
        <v>17</v>
      </c>
      <c r="G219" s="3" t="s">
        <v>13</v>
      </c>
      <c r="H219" s="5">
        <f t="shared" si="11"/>
        <v>29.64244898</v>
      </c>
      <c r="I219" s="5">
        <f t="array" ref="I219">XLOOKUP(A219,protein_data!A:A,protein_data!B:B,"")</f>
        <v>125</v>
      </c>
      <c r="J219" s="5" t="str">
        <f t="shared" si="12"/>
        <v>Non-Responder</v>
      </c>
    </row>
    <row r="220" ht="22.5" customHeight="1">
      <c r="A220" s="3" t="s">
        <v>235</v>
      </c>
      <c r="B220" s="4">
        <v>64.0</v>
      </c>
      <c r="C220" s="3" t="s">
        <v>11</v>
      </c>
      <c r="D220" s="4">
        <v>73.45</v>
      </c>
      <c r="E220" s="4">
        <v>1.59</v>
      </c>
      <c r="F220" s="3" t="s">
        <v>12</v>
      </c>
      <c r="G220" s="3" t="s">
        <v>15</v>
      </c>
      <c r="H220" s="5">
        <f t="shared" si="11"/>
        <v>29.05343934</v>
      </c>
      <c r="I220" s="5">
        <f t="array" ref="I220">XLOOKUP(A220,protein_data!A:A,protein_data!B:B,"")</f>
        <v>85</v>
      </c>
      <c r="J220" s="5" t="str">
        <f t="shared" si="12"/>
        <v>Responder</v>
      </c>
    </row>
    <row r="221" ht="22.5" customHeight="1">
      <c r="A221" s="3" t="s">
        <v>236</v>
      </c>
      <c r="B221" s="4">
        <v>57.0</v>
      </c>
      <c r="C221" s="3" t="s">
        <v>11</v>
      </c>
      <c r="D221" s="4">
        <v>86.48</v>
      </c>
      <c r="E221" s="4">
        <v>1.51</v>
      </c>
      <c r="F221" s="3" t="s">
        <v>17</v>
      </c>
      <c r="G221" s="3" t="s">
        <v>13</v>
      </c>
      <c r="H221" s="5">
        <f t="shared" si="11"/>
        <v>37.92816105</v>
      </c>
      <c r="I221" s="5">
        <f t="array" ref="I221">XLOOKUP(A221,protein_data!A:A,protein_data!B:B,"")</f>
        <v>112</v>
      </c>
      <c r="J221" s="5" t="str">
        <f t="shared" si="12"/>
        <v>Non-Responder</v>
      </c>
    </row>
    <row r="222" ht="22.5" customHeight="1">
      <c r="A222" s="3" t="s">
        <v>237</v>
      </c>
      <c r="B222" s="4">
        <v>64.0</v>
      </c>
      <c r="C222" s="3" t="s">
        <v>11</v>
      </c>
      <c r="D222" s="4">
        <v>85.98</v>
      </c>
      <c r="E222" s="4">
        <v>1.58</v>
      </c>
      <c r="F222" s="3" t="s">
        <v>17</v>
      </c>
      <c r="G222" s="3" t="s">
        <v>13</v>
      </c>
      <c r="H222" s="5">
        <f t="shared" si="11"/>
        <v>34.4415959</v>
      </c>
      <c r="I222" s="5">
        <f t="array" ref="I222">XLOOKUP(A222,protein_data!A:A,protein_data!B:B,"")</f>
        <v>177</v>
      </c>
      <c r="J222" s="5" t="str">
        <f t="shared" si="12"/>
        <v>Non-Responder</v>
      </c>
    </row>
    <row r="223" ht="22.5" customHeight="1">
      <c r="A223" s="3" t="s">
        <v>238</v>
      </c>
      <c r="B223" s="4">
        <v>60.0</v>
      </c>
      <c r="C223" s="3" t="s">
        <v>21</v>
      </c>
      <c r="D223" s="4">
        <v>107.15</v>
      </c>
      <c r="E223" s="4">
        <v>1.85</v>
      </c>
      <c r="F223" s="3" t="s">
        <v>12</v>
      </c>
      <c r="G223" s="3" t="s">
        <v>13</v>
      </c>
      <c r="H223" s="5">
        <f t="shared" si="11"/>
        <v>31.30752374</v>
      </c>
      <c r="I223" s="5">
        <f t="array" ref="I223">XLOOKUP(A223,protein_data!A:A,protein_data!B:B,"")</f>
        <v>158</v>
      </c>
      <c r="J223" s="5" t="str">
        <f t="shared" si="12"/>
        <v>Non-Responder</v>
      </c>
    </row>
    <row r="224" ht="22.5" customHeight="1">
      <c r="A224" s="3" t="s">
        <v>239</v>
      </c>
      <c r="B224" s="4">
        <v>53.0</v>
      </c>
      <c r="C224" s="3" t="s">
        <v>11</v>
      </c>
      <c r="D224" s="4">
        <v>71.16</v>
      </c>
      <c r="E224" s="4">
        <v>1.68</v>
      </c>
      <c r="F224" s="3" t="s">
        <v>12</v>
      </c>
      <c r="G224" s="3" t="s">
        <v>15</v>
      </c>
      <c r="H224" s="5">
        <f t="shared" si="11"/>
        <v>25.21258503</v>
      </c>
      <c r="I224" s="5">
        <f t="array" ref="I224">XLOOKUP(A224,protein_data!A:A,protein_data!B:B,"")</f>
        <v>119</v>
      </c>
      <c r="J224" s="5" t="str">
        <f t="shared" si="12"/>
        <v>Responder</v>
      </c>
    </row>
    <row r="225" ht="22.5" customHeight="1">
      <c r="A225" s="3" t="s">
        <v>240</v>
      </c>
      <c r="B225" s="4">
        <v>68.0</v>
      </c>
      <c r="C225" s="3" t="s">
        <v>21</v>
      </c>
      <c r="D225" s="4">
        <v>83.1</v>
      </c>
      <c r="E225" s="4">
        <v>1.71</v>
      </c>
      <c r="F225" s="3" t="s">
        <v>12</v>
      </c>
      <c r="G225" s="3" t="s">
        <v>13</v>
      </c>
      <c r="H225" s="5">
        <f t="shared" si="11"/>
        <v>28.41900072</v>
      </c>
      <c r="I225" s="5">
        <f t="array" ref="I225">XLOOKUP(A225,protein_data!A:A,protein_data!B:B,"")</f>
        <v>142</v>
      </c>
      <c r="J225" s="5" t="str">
        <f t="shared" si="12"/>
        <v>Non-Responder</v>
      </c>
    </row>
    <row r="226" ht="22.5" customHeight="1">
      <c r="A226" s="3" t="s">
        <v>241</v>
      </c>
      <c r="B226" s="4">
        <v>63.0</v>
      </c>
      <c r="C226" s="3" t="s">
        <v>21</v>
      </c>
      <c r="D226" s="4">
        <v>68.54</v>
      </c>
      <c r="E226" s="4">
        <v>1.71</v>
      </c>
      <c r="F226" s="3" t="s">
        <v>12</v>
      </c>
      <c r="G226" s="3" t="s">
        <v>13</v>
      </c>
      <c r="H226" s="5">
        <f t="shared" si="11"/>
        <v>23.43969085</v>
      </c>
      <c r="I226" s="5">
        <f t="array" ref="I226">XLOOKUP(A226,protein_data!A:A,protein_data!B:B,"")</f>
        <v>100</v>
      </c>
      <c r="J226" s="5" t="str">
        <f t="shared" si="12"/>
        <v>Non-Responder</v>
      </c>
    </row>
    <row r="227" ht="22.5" customHeight="1">
      <c r="A227" s="3" t="s">
        <v>242</v>
      </c>
      <c r="B227" s="4">
        <v>62.0</v>
      </c>
      <c r="C227" s="3" t="s">
        <v>21</v>
      </c>
      <c r="D227" s="4">
        <v>100.81</v>
      </c>
      <c r="E227" s="4">
        <v>1.71</v>
      </c>
      <c r="F227" s="3" t="s">
        <v>12</v>
      </c>
      <c r="G227" s="3" t="s">
        <v>15</v>
      </c>
      <c r="H227" s="5">
        <f t="shared" si="11"/>
        <v>34.47556513</v>
      </c>
      <c r="I227" s="5">
        <f t="array" ref="I227">XLOOKUP(A227,protein_data!A:A,protein_data!B:B,"")</f>
        <v>87</v>
      </c>
      <c r="J227" s="5" t="str">
        <f t="shared" si="12"/>
        <v>Responder</v>
      </c>
    </row>
    <row r="228" ht="22.5" customHeight="1">
      <c r="A228" s="3" t="s">
        <v>243</v>
      </c>
      <c r="B228" s="4">
        <v>61.0</v>
      </c>
      <c r="C228" s="3" t="s">
        <v>21</v>
      </c>
      <c r="D228" s="4">
        <v>102.33</v>
      </c>
      <c r="E228" s="4">
        <v>1.7</v>
      </c>
      <c r="F228" s="3" t="s">
        <v>12</v>
      </c>
      <c r="G228" s="3" t="s">
        <v>15</v>
      </c>
      <c r="H228" s="5">
        <f t="shared" si="11"/>
        <v>35.4083045</v>
      </c>
      <c r="I228" s="5">
        <f t="array" ref="I228">XLOOKUP(A228,protein_data!A:A,protein_data!B:B,"")</f>
        <v>101</v>
      </c>
      <c r="J228" s="5" t="str">
        <f t="shared" si="12"/>
        <v>Responder</v>
      </c>
    </row>
    <row r="229" ht="22.5" customHeight="1">
      <c r="A229" s="3" t="s">
        <v>244</v>
      </c>
      <c r="B229" s="4">
        <v>58.0</v>
      </c>
      <c r="C229" s="3" t="s">
        <v>21</v>
      </c>
      <c r="D229" s="4">
        <v>104.0</v>
      </c>
      <c r="E229" s="4">
        <v>1.68</v>
      </c>
      <c r="F229" s="3" t="s">
        <v>12</v>
      </c>
      <c r="G229" s="3" t="s">
        <v>13</v>
      </c>
      <c r="H229" s="5">
        <f t="shared" si="11"/>
        <v>36.84807256</v>
      </c>
      <c r="I229" s="5">
        <f t="array" ref="I229">XLOOKUP(A229,protein_data!A:A,protein_data!B:B,"")</f>
        <v>162</v>
      </c>
      <c r="J229" s="5" t="str">
        <f t="shared" si="12"/>
        <v>Non-Responder</v>
      </c>
    </row>
    <row r="230" ht="22.5" customHeight="1">
      <c r="A230" s="3" t="s">
        <v>245</v>
      </c>
      <c r="B230" s="4">
        <v>58.0</v>
      </c>
      <c r="C230" s="3" t="s">
        <v>11</v>
      </c>
      <c r="D230" s="4">
        <v>89.56</v>
      </c>
      <c r="E230" s="4">
        <v>1.56</v>
      </c>
      <c r="F230" s="3" t="s">
        <v>12</v>
      </c>
      <c r="G230" s="3" t="s">
        <v>13</v>
      </c>
      <c r="H230" s="5">
        <f t="shared" si="11"/>
        <v>36.80144642</v>
      </c>
      <c r="I230" s="5">
        <f t="array" ref="I230">XLOOKUP(A230,protein_data!A:A,protein_data!B:B,"")</f>
        <v>197</v>
      </c>
      <c r="J230" s="5" t="str">
        <f t="shared" si="12"/>
        <v>Non-Responder</v>
      </c>
    </row>
    <row r="231" ht="22.5" customHeight="1">
      <c r="A231" s="3" t="s">
        <v>246</v>
      </c>
      <c r="B231" s="4">
        <v>67.0</v>
      </c>
      <c r="C231" s="3" t="s">
        <v>11</v>
      </c>
      <c r="D231" s="4">
        <v>113.51</v>
      </c>
      <c r="E231" s="4">
        <v>1.58</v>
      </c>
      <c r="F231" s="3" t="s">
        <v>12</v>
      </c>
      <c r="G231" s="3" t="s">
        <v>15</v>
      </c>
      <c r="H231" s="5">
        <f t="shared" si="11"/>
        <v>45.46947605</v>
      </c>
      <c r="I231" s="5">
        <f t="array" ref="I231">XLOOKUP(A231,protein_data!A:A,protein_data!B:B,"")</f>
        <v>117</v>
      </c>
      <c r="J231" s="5" t="str">
        <f t="shared" si="12"/>
        <v>Responder</v>
      </c>
    </row>
    <row r="232" ht="22.5" customHeight="1">
      <c r="A232" s="3" t="s">
        <v>247</v>
      </c>
      <c r="B232" s="4">
        <v>56.0</v>
      </c>
      <c r="C232" s="3" t="s">
        <v>21</v>
      </c>
      <c r="D232" s="4">
        <v>136.52</v>
      </c>
      <c r="E232" s="4">
        <v>1.77</v>
      </c>
      <c r="F232" s="3" t="s">
        <v>17</v>
      </c>
      <c r="G232" s="3" t="s">
        <v>13</v>
      </c>
      <c r="H232" s="5">
        <f t="shared" si="11"/>
        <v>43.57623927</v>
      </c>
      <c r="I232" s="5">
        <f t="array" ref="I232">XLOOKUP(A232,protein_data!A:A,protein_data!B:B,"")</f>
        <v>142</v>
      </c>
      <c r="J232" s="5" t="str">
        <f t="shared" si="12"/>
        <v>Non-Responder</v>
      </c>
    </row>
    <row r="233" ht="22.5" customHeight="1">
      <c r="A233" s="3" t="s">
        <v>248</v>
      </c>
      <c r="B233" s="4">
        <v>63.0</v>
      </c>
      <c r="C233" s="3" t="s">
        <v>21</v>
      </c>
      <c r="D233" s="4">
        <v>137.73</v>
      </c>
      <c r="E233" s="4">
        <v>1.73</v>
      </c>
      <c r="F233" s="3" t="s">
        <v>12</v>
      </c>
      <c r="G233" s="3" t="s">
        <v>13</v>
      </c>
      <c r="H233" s="5">
        <f t="shared" si="11"/>
        <v>46.01891142</v>
      </c>
      <c r="I233" s="5">
        <f t="array" ref="I233">XLOOKUP(A233,protein_data!A:A,protein_data!B:B,"")</f>
        <v>134</v>
      </c>
      <c r="J233" s="5" t="str">
        <f t="shared" si="12"/>
        <v>Non-Responder</v>
      </c>
    </row>
    <row r="234" ht="22.5" customHeight="1">
      <c r="A234" s="3" t="s">
        <v>249</v>
      </c>
      <c r="B234" s="4">
        <v>68.0</v>
      </c>
      <c r="C234" s="3" t="s">
        <v>21</v>
      </c>
      <c r="D234" s="4">
        <v>72.85</v>
      </c>
      <c r="E234" s="4">
        <v>1.7</v>
      </c>
      <c r="F234" s="3" t="s">
        <v>12</v>
      </c>
      <c r="G234" s="3" t="s">
        <v>15</v>
      </c>
      <c r="H234" s="5">
        <f t="shared" si="11"/>
        <v>25.20761246</v>
      </c>
      <c r="I234" s="5">
        <f t="array" ref="I234">XLOOKUP(A234,protein_data!A:A,protein_data!B:B,"")</f>
        <v>79</v>
      </c>
      <c r="J234" s="5" t="str">
        <f t="shared" si="12"/>
        <v>Responder</v>
      </c>
    </row>
    <row r="235" ht="22.5" customHeight="1">
      <c r="A235" s="3" t="s">
        <v>250</v>
      </c>
      <c r="B235" s="4">
        <v>52.0</v>
      </c>
      <c r="C235" s="3" t="s">
        <v>21</v>
      </c>
      <c r="D235" s="4">
        <v>112.79</v>
      </c>
      <c r="E235" s="4">
        <v>1.8</v>
      </c>
      <c r="F235" s="3" t="s">
        <v>12</v>
      </c>
      <c r="G235" s="3" t="s">
        <v>15</v>
      </c>
      <c r="H235" s="5">
        <f t="shared" si="11"/>
        <v>34.8117284</v>
      </c>
      <c r="I235" s="5">
        <f t="array" ref="I235">XLOOKUP(A235,protein_data!A:A,protein_data!B:B,"")</f>
        <v>122</v>
      </c>
      <c r="J235" s="5" t="str">
        <f t="shared" si="12"/>
        <v>Responder</v>
      </c>
    </row>
    <row r="236" ht="22.5" customHeight="1">
      <c r="A236" s="3" t="s">
        <v>251</v>
      </c>
      <c r="B236" s="4">
        <v>52.0</v>
      </c>
      <c r="C236" s="3" t="s">
        <v>21</v>
      </c>
      <c r="D236" s="4">
        <v>85.25</v>
      </c>
      <c r="E236" s="4">
        <v>1.7</v>
      </c>
      <c r="F236" s="3" t="s">
        <v>17</v>
      </c>
      <c r="G236" s="3" t="s">
        <v>13</v>
      </c>
      <c r="H236" s="5">
        <f t="shared" si="11"/>
        <v>29.4982699</v>
      </c>
      <c r="I236" s="5">
        <f t="array" ref="I236">XLOOKUP(A236,protein_data!A:A,protein_data!B:B,"")</f>
        <v>74</v>
      </c>
      <c r="J236" s="5" t="str">
        <f t="shared" si="12"/>
        <v>Non-Responder</v>
      </c>
    </row>
    <row r="237" ht="22.5" customHeight="1">
      <c r="A237" s="3" t="s">
        <v>252</v>
      </c>
      <c r="B237" s="4">
        <v>59.0</v>
      </c>
      <c r="C237" s="3" t="s">
        <v>11</v>
      </c>
      <c r="D237" s="4">
        <v>102.84</v>
      </c>
      <c r="E237" s="4">
        <v>1.54</v>
      </c>
      <c r="F237" s="3" t="s">
        <v>17</v>
      </c>
      <c r="G237" s="3" t="s">
        <v>13</v>
      </c>
      <c r="H237" s="5">
        <f t="shared" si="11"/>
        <v>43.36313038</v>
      </c>
      <c r="I237" s="5">
        <f t="array" ref="I237">XLOOKUP(A237,protein_data!A:A,protein_data!B:B,"")</f>
        <v>171</v>
      </c>
      <c r="J237" s="5" t="str">
        <f t="shared" si="12"/>
        <v>Non-Responder</v>
      </c>
    </row>
    <row r="238" ht="22.5" customHeight="1">
      <c r="A238" s="3" t="s">
        <v>253</v>
      </c>
      <c r="B238" s="4">
        <v>67.0</v>
      </c>
      <c r="C238" s="3" t="s">
        <v>11</v>
      </c>
      <c r="D238" s="4">
        <v>93.84</v>
      </c>
      <c r="E238" s="4">
        <v>1.62</v>
      </c>
      <c r="F238" s="3" t="s">
        <v>12</v>
      </c>
      <c r="G238" s="3" t="s">
        <v>13</v>
      </c>
      <c r="H238" s="5">
        <f t="shared" si="11"/>
        <v>35.7567444</v>
      </c>
      <c r="I238" s="5">
        <f t="array" ref="I238">XLOOKUP(A238,protein_data!A:A,protein_data!B:B,"")</f>
        <v>181</v>
      </c>
      <c r="J238" s="5" t="str">
        <f t="shared" si="12"/>
        <v>Non-Responder</v>
      </c>
    </row>
    <row r="239" ht="22.5" customHeight="1">
      <c r="A239" s="3" t="s">
        <v>254</v>
      </c>
      <c r="B239" s="4">
        <v>70.0</v>
      </c>
      <c r="C239" s="3" t="s">
        <v>21</v>
      </c>
      <c r="D239" s="4">
        <v>132.59</v>
      </c>
      <c r="E239" s="4">
        <v>1.74</v>
      </c>
      <c r="F239" s="3" t="s">
        <v>17</v>
      </c>
      <c r="G239" s="3" t="s">
        <v>13</v>
      </c>
      <c r="H239" s="5">
        <f t="shared" si="11"/>
        <v>43.79376404</v>
      </c>
      <c r="I239" s="5">
        <f t="array" ref="I239">XLOOKUP(A239,protein_data!A:A,protein_data!B:B,"")</f>
        <v>179</v>
      </c>
      <c r="J239" s="5" t="str">
        <f t="shared" si="12"/>
        <v>Non-Responder</v>
      </c>
    </row>
    <row r="240" ht="22.5" customHeight="1">
      <c r="A240" s="3" t="s">
        <v>255</v>
      </c>
      <c r="B240" s="4">
        <v>58.0</v>
      </c>
      <c r="C240" s="3" t="s">
        <v>21</v>
      </c>
      <c r="D240" s="4">
        <v>99.64</v>
      </c>
      <c r="E240" s="4">
        <v>1.81</v>
      </c>
      <c r="F240" s="3" t="s">
        <v>17</v>
      </c>
      <c r="G240" s="3" t="s">
        <v>13</v>
      </c>
      <c r="H240" s="5">
        <f t="shared" si="11"/>
        <v>30.41421202</v>
      </c>
      <c r="I240" s="5">
        <f t="array" ref="I240">XLOOKUP(A240,protein_data!A:A,protein_data!B:B,"")</f>
        <v>164</v>
      </c>
      <c r="J240" s="5" t="str">
        <f t="shared" si="12"/>
        <v>Non-Responder</v>
      </c>
    </row>
    <row r="241" ht="22.5" customHeight="1">
      <c r="A241" s="3" t="s">
        <v>256</v>
      </c>
      <c r="B241" s="4">
        <v>66.0</v>
      </c>
      <c r="C241" s="3" t="s">
        <v>21</v>
      </c>
      <c r="D241" s="4">
        <v>60.17</v>
      </c>
      <c r="E241" s="4">
        <v>1.82</v>
      </c>
      <c r="F241" s="3" t="s">
        <v>12</v>
      </c>
      <c r="G241" s="3" t="s">
        <v>15</v>
      </c>
      <c r="H241" s="5">
        <f t="shared" si="11"/>
        <v>18.16507668</v>
      </c>
      <c r="I241" s="5">
        <f t="array" ref="I241">XLOOKUP(A241,protein_data!A:A,protein_data!B:B,"")</f>
        <v>104</v>
      </c>
      <c r="J241" s="5" t="str">
        <f t="shared" si="12"/>
        <v>Responder</v>
      </c>
    </row>
    <row r="242" ht="22.5" customHeight="1">
      <c r="A242" s="3" t="s">
        <v>257</v>
      </c>
      <c r="B242" s="4">
        <v>61.0</v>
      </c>
      <c r="C242" s="3" t="s">
        <v>11</v>
      </c>
      <c r="D242" s="4">
        <v>84.02</v>
      </c>
      <c r="E242" s="4">
        <v>1.7</v>
      </c>
      <c r="F242" s="3" t="s">
        <v>12</v>
      </c>
      <c r="G242" s="3" t="s">
        <v>15</v>
      </c>
      <c r="H242" s="5">
        <f t="shared" si="11"/>
        <v>29.07266436</v>
      </c>
      <c r="I242" s="5">
        <f t="array" ref="I242">XLOOKUP(A242,protein_data!A:A,protein_data!B:B,"")</f>
        <v>91</v>
      </c>
      <c r="J242" s="5" t="str">
        <f t="shared" si="12"/>
        <v>Responder</v>
      </c>
    </row>
    <row r="243" ht="22.5" customHeight="1">
      <c r="A243" s="3" t="s">
        <v>258</v>
      </c>
      <c r="B243" s="4">
        <v>66.0</v>
      </c>
      <c r="C243" s="3" t="s">
        <v>21</v>
      </c>
      <c r="D243" s="4">
        <v>104.68</v>
      </c>
      <c r="E243" s="4">
        <v>1.79</v>
      </c>
      <c r="F243" s="3" t="s">
        <v>17</v>
      </c>
      <c r="G243" s="3" t="s">
        <v>13</v>
      </c>
      <c r="H243" s="5">
        <f t="shared" si="11"/>
        <v>32.67064074</v>
      </c>
      <c r="I243" s="5">
        <f t="array" ref="I243">XLOOKUP(A243,protein_data!A:A,protein_data!B:B,"")</f>
        <v>91</v>
      </c>
      <c r="J243" s="5" t="str">
        <f t="shared" si="12"/>
        <v>Non-Responder</v>
      </c>
    </row>
    <row r="244" ht="22.5" customHeight="1">
      <c r="A244" s="3" t="s">
        <v>259</v>
      </c>
      <c r="B244" s="4">
        <v>49.0</v>
      </c>
      <c r="C244" s="3" t="s">
        <v>21</v>
      </c>
      <c r="D244" s="4">
        <v>73.91</v>
      </c>
      <c r="E244" s="4">
        <v>1.71</v>
      </c>
      <c r="F244" s="3" t="s">
        <v>12</v>
      </c>
      <c r="G244" s="3" t="s">
        <v>13</v>
      </c>
      <c r="H244" s="5">
        <f t="shared" si="11"/>
        <v>25.27615335</v>
      </c>
      <c r="I244" s="5">
        <f t="array" ref="I244">XLOOKUP(A244,protein_data!A:A,protein_data!B:B,"")</f>
        <v>139</v>
      </c>
      <c r="J244" s="5" t="str">
        <f t="shared" si="12"/>
        <v>Non-Responder</v>
      </c>
    </row>
    <row r="245" ht="22.5" customHeight="1">
      <c r="A245" s="3" t="s">
        <v>260</v>
      </c>
      <c r="B245" s="4">
        <v>66.0</v>
      </c>
      <c r="C245" s="3" t="s">
        <v>11</v>
      </c>
      <c r="D245" s="4">
        <v>71.02</v>
      </c>
      <c r="E245" s="4">
        <v>1.62</v>
      </c>
      <c r="F245" s="3" t="s">
        <v>12</v>
      </c>
      <c r="G245" s="3" t="s">
        <v>15</v>
      </c>
      <c r="H245" s="5">
        <f t="shared" si="11"/>
        <v>27.06142356</v>
      </c>
      <c r="I245" s="5">
        <f t="array" ref="I245">XLOOKUP(A245,protein_data!A:A,protein_data!B:B,"")</f>
        <v>119</v>
      </c>
      <c r="J245" s="5" t="str">
        <f t="shared" si="12"/>
        <v>Responder</v>
      </c>
    </row>
    <row r="246" ht="22.5" customHeight="1">
      <c r="A246" s="3" t="s">
        <v>261</v>
      </c>
      <c r="B246" s="4">
        <v>71.0</v>
      </c>
      <c r="C246" s="3" t="s">
        <v>11</v>
      </c>
      <c r="D246" s="4">
        <v>101.05</v>
      </c>
      <c r="E246" s="4">
        <v>1.63</v>
      </c>
      <c r="F246" s="3" t="s">
        <v>12</v>
      </c>
      <c r="G246" s="3" t="s">
        <v>13</v>
      </c>
      <c r="H246" s="5">
        <f t="shared" si="11"/>
        <v>38.03304603</v>
      </c>
      <c r="I246" s="5">
        <f t="array" ref="I246">XLOOKUP(A246,protein_data!A:A,protein_data!B:B,"")</f>
        <v>146</v>
      </c>
      <c r="J246" s="5" t="str">
        <f t="shared" si="12"/>
        <v>Non-Responder</v>
      </c>
    </row>
    <row r="247" ht="22.5" customHeight="1">
      <c r="A247" s="3" t="s">
        <v>262</v>
      </c>
      <c r="B247" s="4">
        <v>69.0</v>
      </c>
      <c r="C247" s="3" t="s">
        <v>11</v>
      </c>
      <c r="D247" s="4">
        <v>77.33</v>
      </c>
      <c r="E247" s="4">
        <v>1.61</v>
      </c>
      <c r="F247" s="3" t="s">
        <v>12</v>
      </c>
      <c r="G247" s="3" t="s">
        <v>13</v>
      </c>
      <c r="H247" s="5">
        <f t="shared" si="11"/>
        <v>29.83295398</v>
      </c>
      <c r="I247" s="5">
        <f t="array" ref="I247">XLOOKUP(A247,protein_data!A:A,protein_data!B:B,"")</f>
        <v>184</v>
      </c>
      <c r="J247" s="5" t="str">
        <f t="shared" si="12"/>
        <v>Non-Responder</v>
      </c>
    </row>
    <row r="248" ht="22.5" customHeight="1">
      <c r="A248" s="3" t="s">
        <v>263</v>
      </c>
      <c r="B248" s="4">
        <v>62.0</v>
      </c>
      <c r="C248" s="3" t="s">
        <v>11</v>
      </c>
      <c r="D248" s="4">
        <v>80.4</v>
      </c>
      <c r="E248" s="4">
        <v>1.61</v>
      </c>
      <c r="F248" s="3" t="s">
        <v>12</v>
      </c>
      <c r="G248" s="3" t="s">
        <v>13</v>
      </c>
      <c r="H248" s="5">
        <f t="shared" si="11"/>
        <v>31.01732186</v>
      </c>
      <c r="I248" s="5">
        <f t="array" ref="I248">XLOOKUP(A248,protein_data!A:A,protein_data!B:B,"")</f>
        <v>122</v>
      </c>
      <c r="J248" s="5" t="str">
        <f t="shared" si="12"/>
        <v>Non-Responder</v>
      </c>
    </row>
    <row r="249" ht="22.5" customHeight="1">
      <c r="A249" s="3" t="s">
        <v>264</v>
      </c>
      <c r="B249" s="4">
        <v>67.0</v>
      </c>
      <c r="C249" s="3" t="s">
        <v>11</v>
      </c>
      <c r="D249" s="4">
        <v>135.76</v>
      </c>
      <c r="E249" s="4">
        <v>1.61</v>
      </c>
      <c r="F249" s="3" t="s">
        <v>12</v>
      </c>
      <c r="G249" s="3" t="s">
        <v>13</v>
      </c>
      <c r="H249" s="5">
        <f t="shared" si="11"/>
        <v>52.37452259</v>
      </c>
      <c r="I249" s="5">
        <f t="array" ref="I249">XLOOKUP(A249,protein_data!A:A,protein_data!B:B,"")</f>
        <v>165</v>
      </c>
      <c r="J249" s="5" t="str">
        <f t="shared" si="12"/>
        <v>Non-Responder</v>
      </c>
    </row>
    <row r="250" ht="22.5" customHeight="1">
      <c r="A250" s="3" t="s">
        <v>265</v>
      </c>
      <c r="B250" s="4">
        <v>73.0</v>
      </c>
      <c r="C250" s="3" t="s">
        <v>21</v>
      </c>
      <c r="D250" s="4">
        <v>110.65</v>
      </c>
      <c r="E250" s="4">
        <v>1.78</v>
      </c>
      <c r="F250" s="3" t="s">
        <v>17</v>
      </c>
      <c r="G250" s="3" t="s">
        <v>13</v>
      </c>
      <c r="H250" s="5">
        <f t="shared" si="11"/>
        <v>34.92298952</v>
      </c>
      <c r="I250" s="5">
        <f t="array" ref="I250">XLOOKUP(A250,protein_data!A:A,protein_data!B:B,"")</f>
        <v>124</v>
      </c>
      <c r="J250" s="5" t="str">
        <f t="shared" si="12"/>
        <v>Non-Responder</v>
      </c>
    </row>
    <row r="251" ht="22.5" customHeight="1">
      <c r="A251" s="3" t="s">
        <v>266</v>
      </c>
      <c r="B251" s="4">
        <v>60.0</v>
      </c>
      <c r="C251" s="3" t="s">
        <v>11</v>
      </c>
      <c r="D251" s="4">
        <v>83.46</v>
      </c>
      <c r="E251" s="4">
        <v>1.67</v>
      </c>
      <c r="F251" s="3" t="s">
        <v>17</v>
      </c>
      <c r="G251" s="3" t="s">
        <v>13</v>
      </c>
      <c r="H251" s="5">
        <f t="shared" si="11"/>
        <v>29.92577719</v>
      </c>
      <c r="I251" s="5">
        <f t="array" ref="I251">XLOOKUP(A251,protein_data!A:A,protein_data!B:B,"")</f>
        <v>111</v>
      </c>
      <c r="J251" s="5" t="str">
        <f t="shared" si="12"/>
        <v>Non-Responder</v>
      </c>
    </row>
    <row r="252" ht="22.5" customHeight="1">
      <c r="A252" s="3" t="s">
        <v>267</v>
      </c>
      <c r="B252" s="4">
        <v>73.0</v>
      </c>
      <c r="C252" s="3" t="s">
        <v>21</v>
      </c>
      <c r="D252" s="4">
        <v>97.1</v>
      </c>
      <c r="E252" s="4">
        <v>1.77</v>
      </c>
      <c r="F252" s="3" t="s">
        <v>12</v>
      </c>
      <c r="G252" s="3" t="s">
        <v>15</v>
      </c>
      <c r="H252" s="5">
        <f t="shared" si="11"/>
        <v>30.99364806</v>
      </c>
      <c r="I252" s="5">
        <f t="array" ref="I252">XLOOKUP(A252,protein_data!A:A,protein_data!B:B,"")</f>
        <v>106</v>
      </c>
      <c r="J252" s="5" t="str">
        <f t="shared" si="12"/>
        <v>Responder</v>
      </c>
    </row>
    <row r="253" ht="22.5" customHeight="1">
      <c r="A253" s="3" t="s">
        <v>268</v>
      </c>
      <c r="B253" s="4">
        <v>56.0</v>
      </c>
      <c r="C253" s="3" t="s">
        <v>21</v>
      </c>
      <c r="D253" s="4">
        <v>82.66</v>
      </c>
      <c r="E253" s="4">
        <v>1.73</v>
      </c>
      <c r="F253" s="3" t="s">
        <v>17</v>
      </c>
      <c r="G253" s="3" t="s">
        <v>13</v>
      </c>
      <c r="H253" s="5">
        <f t="shared" si="11"/>
        <v>27.61869758</v>
      </c>
      <c r="I253" s="5">
        <f t="array" ref="I253">XLOOKUP(A253,protein_data!A:A,protein_data!B:B,"")</f>
        <v>129</v>
      </c>
      <c r="J253" s="5" t="str">
        <f t="shared" si="12"/>
        <v>Non-Responder</v>
      </c>
    </row>
    <row r="254" ht="22.5" customHeight="1">
      <c r="A254" s="3" t="s">
        <v>269</v>
      </c>
      <c r="B254" s="4">
        <v>62.0</v>
      </c>
      <c r="C254" s="3" t="s">
        <v>21</v>
      </c>
      <c r="D254" s="4">
        <v>78.78</v>
      </c>
      <c r="E254" s="4">
        <v>1.8</v>
      </c>
      <c r="F254" s="3" t="s">
        <v>17</v>
      </c>
      <c r="G254" s="3" t="s">
        <v>13</v>
      </c>
      <c r="H254" s="5">
        <f t="shared" si="11"/>
        <v>24.31481481</v>
      </c>
      <c r="I254" s="5">
        <f t="array" ref="I254">XLOOKUP(A254,protein_data!A:A,protein_data!B:B,"")</f>
        <v>90</v>
      </c>
      <c r="J254" s="5" t="str">
        <f t="shared" si="12"/>
        <v>Non-Responder</v>
      </c>
    </row>
    <row r="255" ht="22.5" customHeight="1">
      <c r="A255" s="3" t="s">
        <v>270</v>
      </c>
      <c r="B255" s="4">
        <v>61.0</v>
      </c>
      <c r="C255" s="3" t="s">
        <v>21</v>
      </c>
      <c r="D255" s="4">
        <v>112.09</v>
      </c>
      <c r="E255" s="4">
        <v>1.78</v>
      </c>
      <c r="F255" s="3" t="s">
        <v>12</v>
      </c>
      <c r="G255" s="3" t="s">
        <v>15</v>
      </c>
      <c r="H255" s="5">
        <f t="shared" si="11"/>
        <v>35.37747759</v>
      </c>
      <c r="I255" s="5">
        <f t="array" ref="I255">XLOOKUP(A255,protein_data!A:A,protein_data!B:B,"")</f>
        <v>86</v>
      </c>
      <c r="J255" s="5" t="str">
        <f t="shared" si="12"/>
        <v>Responder</v>
      </c>
    </row>
    <row r="256" ht="22.5" customHeight="1">
      <c r="A256" s="3" t="s">
        <v>271</v>
      </c>
      <c r="B256" s="4">
        <v>61.0</v>
      </c>
      <c r="C256" s="3" t="s">
        <v>11</v>
      </c>
      <c r="D256" s="4">
        <v>72.5</v>
      </c>
      <c r="E256" s="4">
        <v>1.62</v>
      </c>
      <c r="F256" s="3" t="s">
        <v>17</v>
      </c>
      <c r="G256" s="3" t="s">
        <v>15</v>
      </c>
      <c r="H256" s="5">
        <f t="shared" si="11"/>
        <v>27.62536199</v>
      </c>
      <c r="I256" s="5">
        <f t="array" ref="I256">XLOOKUP(A256,protein_data!A:A,protein_data!B:B,"")</f>
        <v>92</v>
      </c>
      <c r="J256" s="5" t="str">
        <f t="shared" si="12"/>
        <v>Responder</v>
      </c>
    </row>
    <row r="257" ht="22.5" customHeight="1">
      <c r="A257" s="3" t="s">
        <v>272</v>
      </c>
      <c r="B257" s="4">
        <v>62.0</v>
      </c>
      <c r="C257" s="3" t="s">
        <v>21</v>
      </c>
      <c r="D257" s="4">
        <v>112.18</v>
      </c>
      <c r="E257" s="4">
        <v>1.83</v>
      </c>
      <c r="F257" s="3" t="s">
        <v>17</v>
      </c>
      <c r="G257" s="3" t="s">
        <v>13</v>
      </c>
      <c r="H257" s="5">
        <f t="shared" si="11"/>
        <v>33.49756637</v>
      </c>
      <c r="I257" s="5">
        <f t="array" ref="I257">XLOOKUP(A257,protein_data!A:A,protein_data!B:B,"")</f>
        <v>113</v>
      </c>
      <c r="J257" s="5" t="str">
        <f t="shared" si="12"/>
        <v>Non-Responder</v>
      </c>
    </row>
    <row r="258" ht="22.5" customHeight="1">
      <c r="A258" s="3" t="s">
        <v>273</v>
      </c>
      <c r="B258" s="4">
        <v>60.0</v>
      </c>
      <c r="C258" s="3" t="s">
        <v>11</v>
      </c>
      <c r="D258" s="4">
        <v>75.21</v>
      </c>
      <c r="E258" s="4">
        <v>1.58</v>
      </c>
      <c r="F258" s="3" t="s">
        <v>12</v>
      </c>
      <c r="G258" s="3" t="s">
        <v>15</v>
      </c>
      <c r="H258" s="5">
        <f t="shared" si="11"/>
        <v>30.12738343</v>
      </c>
      <c r="I258" s="5">
        <f t="array" ref="I258">XLOOKUP(A258,protein_data!A:A,protein_data!B:B,"")</f>
        <v>111</v>
      </c>
      <c r="J258" s="5" t="str">
        <f t="shared" si="12"/>
        <v>Responder</v>
      </c>
    </row>
    <row r="259" ht="22.5" customHeight="1">
      <c r="A259" s="3" t="s">
        <v>274</v>
      </c>
      <c r="B259" s="4">
        <v>73.0</v>
      </c>
      <c r="C259" s="3" t="s">
        <v>11</v>
      </c>
      <c r="D259" s="4">
        <v>68.56</v>
      </c>
      <c r="E259" s="4">
        <v>1.55</v>
      </c>
      <c r="F259" s="3" t="s">
        <v>12</v>
      </c>
      <c r="G259" s="3" t="s">
        <v>15</v>
      </c>
      <c r="H259" s="5">
        <f t="shared" si="11"/>
        <v>28.53694069</v>
      </c>
      <c r="I259" s="5">
        <f t="array" ref="I259">XLOOKUP(A259,protein_data!A:A,protein_data!B:B,"")</f>
        <v>114</v>
      </c>
      <c r="J259" s="5" t="str">
        <f t="shared" si="12"/>
        <v>Responder</v>
      </c>
    </row>
    <row r="260" ht="22.5" customHeight="1">
      <c r="A260" s="3" t="s">
        <v>275</v>
      </c>
      <c r="B260" s="4">
        <v>65.0</v>
      </c>
      <c r="C260" s="3" t="s">
        <v>11</v>
      </c>
      <c r="D260" s="4">
        <v>59.17</v>
      </c>
      <c r="E260" s="4">
        <v>1.51</v>
      </c>
      <c r="F260" s="3" t="s">
        <v>17</v>
      </c>
      <c r="G260" s="3" t="s">
        <v>13</v>
      </c>
      <c r="H260" s="5">
        <f t="shared" si="11"/>
        <v>25.9506162</v>
      </c>
      <c r="I260" s="5">
        <f t="array" ref="I260">XLOOKUP(A260,protein_data!A:A,protein_data!B:B,"")</f>
        <v>193</v>
      </c>
      <c r="J260" s="5" t="str">
        <f t="shared" si="12"/>
        <v>Non-Responder</v>
      </c>
    </row>
    <row r="261" ht="22.5" customHeight="1">
      <c r="A261" s="3" t="s">
        <v>276</v>
      </c>
      <c r="B261" s="4">
        <v>57.0</v>
      </c>
      <c r="C261" s="3" t="s">
        <v>11</v>
      </c>
      <c r="D261" s="4">
        <v>85.33</v>
      </c>
      <c r="E261" s="4">
        <v>1.6</v>
      </c>
      <c r="F261" s="3" t="s">
        <v>12</v>
      </c>
      <c r="G261" s="3" t="s">
        <v>13</v>
      </c>
      <c r="H261" s="5">
        <f t="shared" si="11"/>
        <v>33.33203125</v>
      </c>
      <c r="I261" s="5">
        <f t="array" ref="I261">XLOOKUP(A261,protein_data!A:A,protein_data!B:B,"")</f>
        <v>155</v>
      </c>
      <c r="J261" s="5" t="str">
        <f t="shared" si="12"/>
        <v>Non-Responder</v>
      </c>
    </row>
    <row r="262" ht="22.5" customHeight="1">
      <c r="A262" s="3" t="s">
        <v>277</v>
      </c>
      <c r="B262" s="4">
        <v>55.0</v>
      </c>
      <c r="C262" s="3" t="s">
        <v>21</v>
      </c>
      <c r="D262" s="4">
        <v>89.64</v>
      </c>
      <c r="E262" s="4">
        <v>1.71</v>
      </c>
      <c r="F262" s="3" t="s">
        <v>17</v>
      </c>
      <c r="G262" s="3" t="s">
        <v>13</v>
      </c>
      <c r="H262" s="5">
        <f t="shared" si="11"/>
        <v>30.65558633</v>
      </c>
      <c r="I262" s="5">
        <f t="array" ref="I262">XLOOKUP(A262,protein_data!A:A,protein_data!B:B,"")</f>
        <v>191</v>
      </c>
      <c r="J262" s="5" t="str">
        <f t="shared" si="12"/>
        <v>Non-Responder</v>
      </c>
    </row>
    <row r="263" ht="22.5" customHeight="1">
      <c r="A263" s="3" t="s">
        <v>278</v>
      </c>
      <c r="B263" s="4">
        <v>54.0</v>
      </c>
      <c r="C263" s="3" t="s">
        <v>11</v>
      </c>
      <c r="D263" s="4">
        <v>71.04</v>
      </c>
      <c r="E263" s="4">
        <v>1.54</v>
      </c>
      <c r="F263" s="3" t="s">
        <v>12</v>
      </c>
      <c r="G263" s="3" t="s">
        <v>13</v>
      </c>
      <c r="H263" s="5">
        <f t="shared" si="11"/>
        <v>29.95446112</v>
      </c>
      <c r="I263" s="5">
        <f t="array" ref="I263">XLOOKUP(A263,protein_data!A:A,protein_data!B:B,"")</f>
        <v>141</v>
      </c>
      <c r="J263" s="5" t="str">
        <f t="shared" si="12"/>
        <v>Non-Responder</v>
      </c>
    </row>
    <row r="264" ht="22.5" customHeight="1">
      <c r="A264" s="3" t="s">
        <v>279</v>
      </c>
      <c r="B264" s="4">
        <v>54.0</v>
      </c>
      <c r="C264" s="3" t="s">
        <v>21</v>
      </c>
      <c r="D264" s="4">
        <v>103.75</v>
      </c>
      <c r="E264" s="4">
        <v>1.81</v>
      </c>
      <c r="F264" s="3" t="s">
        <v>12</v>
      </c>
      <c r="G264" s="3" t="s">
        <v>15</v>
      </c>
      <c r="H264" s="5">
        <f t="shared" si="11"/>
        <v>31.66875248</v>
      </c>
      <c r="I264" s="5">
        <f t="array" ref="I264">XLOOKUP(A264,protein_data!A:A,protein_data!B:B,"")</f>
        <v>95</v>
      </c>
      <c r="J264" s="5" t="str">
        <f t="shared" si="12"/>
        <v>Responder</v>
      </c>
    </row>
    <row r="265" ht="22.5" customHeight="1">
      <c r="A265" s="3" t="s">
        <v>280</v>
      </c>
      <c r="B265" s="4">
        <v>59.0</v>
      </c>
      <c r="C265" s="3" t="s">
        <v>21</v>
      </c>
      <c r="D265" s="4">
        <v>88.47</v>
      </c>
      <c r="E265" s="4">
        <v>1.66</v>
      </c>
      <c r="F265" s="3" t="s">
        <v>17</v>
      </c>
      <c r="G265" s="3" t="s">
        <v>15</v>
      </c>
      <c r="H265" s="5">
        <f t="shared" si="11"/>
        <v>32.10553056</v>
      </c>
      <c r="I265" s="5">
        <f t="array" ref="I265">XLOOKUP(A265,protein_data!A:A,protein_data!B:B,"")</f>
        <v>142</v>
      </c>
      <c r="J265" s="5" t="str">
        <f t="shared" si="12"/>
        <v>Responder</v>
      </c>
    </row>
    <row r="266" ht="22.5" customHeight="1">
      <c r="A266" s="3" t="s">
        <v>281</v>
      </c>
      <c r="B266" s="4">
        <v>73.0</v>
      </c>
      <c r="C266" s="3" t="s">
        <v>11</v>
      </c>
      <c r="D266" s="4">
        <v>80.99</v>
      </c>
      <c r="E266" s="4">
        <v>1.59</v>
      </c>
      <c r="F266" s="3" t="s">
        <v>12</v>
      </c>
      <c r="G266" s="3" t="s">
        <v>13</v>
      </c>
      <c r="H266" s="5">
        <f t="shared" si="11"/>
        <v>32.0359163</v>
      </c>
      <c r="I266" s="5">
        <f t="array" ref="I266">XLOOKUP(A266,protein_data!A:A,protein_data!B:B,"")</f>
        <v>123</v>
      </c>
      <c r="J266" s="5" t="str">
        <f t="shared" si="12"/>
        <v>Non-Responder</v>
      </c>
    </row>
    <row r="267" ht="22.5" customHeight="1">
      <c r="A267" s="3" t="s">
        <v>282</v>
      </c>
      <c r="B267" s="4">
        <v>56.0</v>
      </c>
      <c r="C267" s="3" t="s">
        <v>11</v>
      </c>
      <c r="D267" s="4">
        <v>89.19</v>
      </c>
      <c r="E267" s="4">
        <v>1.63</v>
      </c>
      <c r="F267" s="3" t="s">
        <v>17</v>
      </c>
      <c r="G267" s="3" t="s">
        <v>13</v>
      </c>
      <c r="H267" s="5">
        <f t="shared" si="11"/>
        <v>33.56919718</v>
      </c>
      <c r="I267" s="5">
        <f t="array" ref="I267">XLOOKUP(A267,protein_data!A:A,protein_data!B:B,"")</f>
        <v>96</v>
      </c>
      <c r="J267" s="5" t="str">
        <f t="shared" si="12"/>
        <v>Non-Responder</v>
      </c>
    </row>
    <row r="268" ht="22.5" customHeight="1">
      <c r="A268" s="3" t="s">
        <v>283</v>
      </c>
      <c r="B268" s="4">
        <v>65.0</v>
      </c>
      <c r="C268" s="3" t="s">
        <v>11</v>
      </c>
      <c r="D268" s="4">
        <v>103.71</v>
      </c>
      <c r="E268" s="4">
        <v>1.69</v>
      </c>
      <c r="F268" s="3" t="s">
        <v>12</v>
      </c>
      <c r="G268" s="3" t="s">
        <v>13</v>
      </c>
      <c r="H268" s="5">
        <f t="shared" si="11"/>
        <v>36.31175379</v>
      </c>
      <c r="I268" s="5">
        <f t="array" ref="I268">XLOOKUP(A268,protein_data!A:A,protein_data!B:B,"")</f>
        <v>138</v>
      </c>
      <c r="J268" s="5" t="str">
        <f t="shared" si="12"/>
        <v>Non-Responder</v>
      </c>
    </row>
    <row r="269" ht="22.5" customHeight="1">
      <c r="A269" s="3" t="s">
        <v>284</v>
      </c>
      <c r="B269" s="4">
        <v>60.0</v>
      </c>
      <c r="C269" s="3" t="s">
        <v>21</v>
      </c>
      <c r="D269" s="4">
        <v>132.07</v>
      </c>
      <c r="E269" s="4">
        <v>1.82</v>
      </c>
      <c r="F269" s="3" t="s">
        <v>12</v>
      </c>
      <c r="G269" s="3" t="s">
        <v>13</v>
      </c>
      <c r="H269" s="5">
        <f t="shared" si="11"/>
        <v>39.87139234</v>
      </c>
      <c r="I269" s="5">
        <f t="array" ref="I269">XLOOKUP(A269,protein_data!A:A,protein_data!B:B,"")</f>
        <v>128</v>
      </c>
      <c r="J269" s="5" t="str">
        <f t="shared" si="12"/>
        <v>Non-Responder</v>
      </c>
    </row>
    <row r="270" ht="22.5" customHeight="1">
      <c r="A270" s="3" t="s">
        <v>285</v>
      </c>
      <c r="B270" s="4">
        <v>65.0</v>
      </c>
      <c r="C270" s="3" t="s">
        <v>11</v>
      </c>
      <c r="D270" s="4">
        <v>63.75</v>
      </c>
      <c r="E270" s="4">
        <v>1.59</v>
      </c>
      <c r="F270" s="3" t="s">
        <v>17</v>
      </c>
      <c r="G270" s="3" t="s">
        <v>13</v>
      </c>
      <c r="H270" s="5">
        <f t="shared" si="11"/>
        <v>25.2165658</v>
      </c>
      <c r="I270" s="5">
        <f t="array" ref="I270">XLOOKUP(A270,protein_data!A:A,protein_data!B:B,"")</f>
        <v>102</v>
      </c>
      <c r="J270" s="5" t="str">
        <f t="shared" si="12"/>
        <v>Non-Responder</v>
      </c>
    </row>
    <row r="271" ht="22.5" customHeight="1">
      <c r="A271" s="3" t="s">
        <v>286</v>
      </c>
      <c r="B271" s="4">
        <v>70.0</v>
      </c>
      <c r="C271" s="3" t="s">
        <v>21</v>
      </c>
      <c r="D271" s="4">
        <v>75.97</v>
      </c>
      <c r="E271" s="4">
        <v>1.67</v>
      </c>
      <c r="F271" s="3" t="s">
        <v>12</v>
      </c>
      <c r="G271" s="3" t="s">
        <v>13</v>
      </c>
      <c r="H271" s="5">
        <f t="shared" si="11"/>
        <v>27.24013052</v>
      </c>
      <c r="I271" s="5">
        <f t="array" ref="I271">XLOOKUP(A271,protein_data!A:A,protein_data!B:B,"")</f>
        <v>146</v>
      </c>
      <c r="J271" s="5" t="str">
        <f t="shared" si="12"/>
        <v>Non-Responder</v>
      </c>
    </row>
    <row r="272" ht="22.5" customHeight="1">
      <c r="A272" s="3" t="s">
        <v>287</v>
      </c>
      <c r="B272" s="4">
        <v>76.0</v>
      </c>
      <c r="C272" s="3" t="s">
        <v>11</v>
      </c>
      <c r="D272" s="4">
        <v>116.43</v>
      </c>
      <c r="E272" s="4">
        <v>1.6</v>
      </c>
      <c r="F272" s="3" t="s">
        <v>17</v>
      </c>
      <c r="G272" s="3" t="s">
        <v>13</v>
      </c>
      <c r="H272" s="5">
        <f t="shared" si="11"/>
        <v>45.48046875</v>
      </c>
      <c r="I272" s="5">
        <f t="array" ref="I272">XLOOKUP(A272,protein_data!A:A,protein_data!B:B,"")</f>
        <v>101</v>
      </c>
      <c r="J272" s="5" t="str">
        <f t="shared" si="12"/>
        <v>Non-Responder</v>
      </c>
    </row>
    <row r="273" ht="22.5" customHeight="1">
      <c r="A273" s="3" t="s">
        <v>288</v>
      </c>
      <c r="B273" s="4">
        <v>56.0</v>
      </c>
      <c r="C273" s="3" t="s">
        <v>21</v>
      </c>
      <c r="D273" s="4">
        <v>73.56</v>
      </c>
      <c r="E273" s="4">
        <v>1.72</v>
      </c>
      <c r="F273" s="3" t="s">
        <v>12</v>
      </c>
      <c r="G273" s="3" t="s">
        <v>13</v>
      </c>
      <c r="H273" s="5">
        <f t="shared" si="11"/>
        <v>24.86479178</v>
      </c>
      <c r="I273" s="5">
        <f t="array" ref="I273">XLOOKUP(A273,protein_data!A:A,protein_data!B:B,"")</f>
        <v>108</v>
      </c>
      <c r="J273" s="5" t="str">
        <f t="shared" si="12"/>
        <v>Non-Responder</v>
      </c>
    </row>
    <row r="274" ht="22.5" customHeight="1">
      <c r="A274" s="3" t="s">
        <v>289</v>
      </c>
      <c r="B274" s="4">
        <v>68.0</v>
      </c>
      <c r="C274" s="3" t="s">
        <v>21</v>
      </c>
      <c r="D274" s="4">
        <v>76.18</v>
      </c>
      <c r="E274" s="4">
        <v>1.83</v>
      </c>
      <c r="F274" s="3" t="s">
        <v>17</v>
      </c>
      <c r="G274" s="3" t="s">
        <v>13</v>
      </c>
      <c r="H274" s="5">
        <f t="shared" si="11"/>
        <v>22.74776792</v>
      </c>
      <c r="I274" s="5">
        <f t="array" ref="I274">XLOOKUP(A274,protein_data!A:A,protein_data!B:B,"")</f>
        <v>122</v>
      </c>
      <c r="J274" s="5" t="str">
        <f t="shared" si="12"/>
        <v>Non-Responder</v>
      </c>
    </row>
    <row r="275" ht="22.5" customHeight="1">
      <c r="A275" s="3" t="s">
        <v>290</v>
      </c>
      <c r="B275" s="4">
        <v>67.0</v>
      </c>
      <c r="C275" s="3" t="s">
        <v>21</v>
      </c>
      <c r="D275" s="4">
        <v>123.59</v>
      </c>
      <c r="E275" s="4">
        <v>1.94</v>
      </c>
      <c r="F275" s="3" t="s">
        <v>12</v>
      </c>
      <c r="G275" s="3" t="s">
        <v>15</v>
      </c>
      <c r="H275" s="5">
        <f t="shared" si="11"/>
        <v>32.83823998</v>
      </c>
      <c r="I275" s="5">
        <f t="array" ref="I275">XLOOKUP(A275,protein_data!A:A,protein_data!B:B,"")</f>
        <v>71</v>
      </c>
      <c r="J275" s="5" t="str">
        <f t="shared" si="12"/>
        <v>Responder</v>
      </c>
    </row>
    <row r="276" ht="22.5" customHeight="1">
      <c r="A276" s="3" t="s">
        <v>291</v>
      </c>
      <c r="B276" s="4">
        <v>39.0</v>
      </c>
      <c r="C276" s="3" t="s">
        <v>11</v>
      </c>
      <c r="D276" s="4">
        <v>88.87</v>
      </c>
      <c r="E276" s="4">
        <v>1.61</v>
      </c>
      <c r="F276" s="3" t="s">
        <v>17</v>
      </c>
      <c r="G276" s="3" t="s">
        <v>15</v>
      </c>
      <c r="H276" s="5">
        <f t="shared" si="11"/>
        <v>34.28494271</v>
      </c>
      <c r="I276" s="5">
        <f t="array" ref="I276">XLOOKUP(A276,protein_data!A:A,protein_data!B:B,"")</f>
        <v>106</v>
      </c>
      <c r="J276" s="5" t="str">
        <f t="shared" si="12"/>
        <v>Responder</v>
      </c>
    </row>
    <row r="277" ht="22.5" customHeight="1">
      <c r="A277" s="3" t="s">
        <v>292</v>
      </c>
      <c r="B277" s="4">
        <v>61.0</v>
      </c>
      <c r="C277" s="3" t="s">
        <v>21</v>
      </c>
      <c r="D277" s="4">
        <v>113.07</v>
      </c>
      <c r="E277" s="4">
        <v>1.68</v>
      </c>
      <c r="F277" s="3" t="s">
        <v>17</v>
      </c>
      <c r="G277" s="3" t="s">
        <v>15</v>
      </c>
      <c r="H277" s="5">
        <f t="shared" si="11"/>
        <v>40.06164966</v>
      </c>
      <c r="I277" s="5">
        <f t="array" ref="I277">XLOOKUP(A277,protein_data!A:A,protein_data!B:B,"")</f>
        <v>100</v>
      </c>
      <c r="J277" s="5" t="str">
        <f t="shared" si="12"/>
        <v>Responder</v>
      </c>
    </row>
    <row r="278" ht="22.5" customHeight="1">
      <c r="A278" s="3" t="s">
        <v>293</v>
      </c>
      <c r="B278" s="4">
        <v>64.0</v>
      </c>
      <c r="C278" s="3" t="s">
        <v>21</v>
      </c>
      <c r="D278" s="4">
        <v>83.86</v>
      </c>
      <c r="E278" s="4">
        <v>1.79</v>
      </c>
      <c r="F278" s="3" t="s">
        <v>12</v>
      </c>
      <c r="G278" s="3" t="s">
        <v>15</v>
      </c>
      <c r="H278" s="5">
        <f t="shared" si="11"/>
        <v>26.17271621</v>
      </c>
      <c r="I278" s="5">
        <f t="array" ref="I278">XLOOKUP(A278,protein_data!A:A,protein_data!B:B,"")</f>
        <v>106</v>
      </c>
      <c r="J278" s="5" t="str">
        <f t="shared" si="12"/>
        <v>Responder</v>
      </c>
    </row>
    <row r="279" ht="22.5" customHeight="1">
      <c r="A279" s="3" t="s">
        <v>294</v>
      </c>
      <c r="B279" s="4">
        <v>60.0</v>
      </c>
      <c r="C279" s="3" t="s">
        <v>21</v>
      </c>
      <c r="D279" s="4">
        <v>80.94</v>
      </c>
      <c r="E279" s="4">
        <v>1.71</v>
      </c>
      <c r="F279" s="3" t="s">
        <v>17</v>
      </c>
      <c r="G279" s="3" t="s">
        <v>15</v>
      </c>
      <c r="H279" s="5">
        <f t="shared" si="11"/>
        <v>27.68031189</v>
      </c>
      <c r="I279" s="5">
        <f t="array" ref="I279">XLOOKUP(A279,protein_data!A:A,protein_data!B:B,"")</f>
        <v>104</v>
      </c>
      <c r="J279" s="5" t="str">
        <f t="shared" si="12"/>
        <v>Responder</v>
      </c>
    </row>
    <row r="280" ht="22.5" customHeight="1">
      <c r="A280" s="3" t="s">
        <v>295</v>
      </c>
      <c r="B280" s="4">
        <v>64.0</v>
      </c>
      <c r="C280" s="3" t="s">
        <v>11</v>
      </c>
      <c r="D280" s="4">
        <v>56.55</v>
      </c>
      <c r="E280" s="4">
        <v>1.51</v>
      </c>
      <c r="F280" s="3" t="s">
        <v>12</v>
      </c>
      <c r="G280" s="3" t="s">
        <v>15</v>
      </c>
      <c r="H280" s="5">
        <f t="shared" si="11"/>
        <v>24.80154379</v>
      </c>
      <c r="I280" s="5">
        <f t="array" ref="I280">XLOOKUP(A280,protein_data!A:A,protein_data!B:B,"")</f>
        <v>114</v>
      </c>
      <c r="J280" s="5" t="str">
        <f t="shared" si="12"/>
        <v>Responder</v>
      </c>
    </row>
    <row r="281" ht="22.5" customHeight="1">
      <c r="A281" s="3" t="s">
        <v>296</v>
      </c>
      <c r="B281" s="4">
        <v>58.0</v>
      </c>
      <c r="C281" s="3" t="s">
        <v>11</v>
      </c>
      <c r="D281" s="4">
        <v>68.58</v>
      </c>
      <c r="E281" s="4">
        <v>1.65</v>
      </c>
      <c r="F281" s="3" t="s">
        <v>12</v>
      </c>
      <c r="G281" s="3" t="s">
        <v>13</v>
      </c>
      <c r="H281" s="5">
        <f t="shared" si="11"/>
        <v>25.19008264</v>
      </c>
      <c r="I281" s="5">
        <f t="array" ref="I281">XLOOKUP(A281,protein_data!A:A,protein_data!B:B,"")</f>
        <v>108</v>
      </c>
      <c r="J281" s="5" t="str">
        <f t="shared" si="12"/>
        <v>Non-Responder</v>
      </c>
    </row>
    <row r="282" ht="22.5" customHeight="1">
      <c r="A282" s="3" t="s">
        <v>297</v>
      </c>
      <c r="B282" s="4">
        <v>57.0</v>
      </c>
      <c r="C282" s="3" t="s">
        <v>11</v>
      </c>
      <c r="D282" s="4">
        <v>89.27</v>
      </c>
      <c r="E282" s="4">
        <v>1.53</v>
      </c>
      <c r="F282" s="3" t="s">
        <v>12</v>
      </c>
      <c r="G282" s="3" t="s">
        <v>13</v>
      </c>
      <c r="H282" s="5">
        <f t="shared" si="11"/>
        <v>38.13490538</v>
      </c>
      <c r="I282" s="5">
        <f t="array" ref="I282">XLOOKUP(A282,protein_data!A:A,protein_data!B:B,"")</f>
        <v>146</v>
      </c>
      <c r="J282" s="5" t="str">
        <f t="shared" si="12"/>
        <v>Non-Responder</v>
      </c>
    </row>
    <row r="283" ht="22.5" customHeight="1">
      <c r="A283" s="3" t="s">
        <v>298</v>
      </c>
      <c r="B283" s="4">
        <v>74.0</v>
      </c>
      <c r="C283" s="3" t="s">
        <v>11</v>
      </c>
      <c r="D283" s="4">
        <v>89.56</v>
      </c>
      <c r="E283" s="4">
        <v>1.58</v>
      </c>
      <c r="F283" s="3" t="s">
        <v>12</v>
      </c>
      <c r="G283" s="3" t="s">
        <v>15</v>
      </c>
      <c r="H283" s="5">
        <f t="shared" si="11"/>
        <v>35.87566095</v>
      </c>
      <c r="I283" s="5">
        <f t="array" ref="I283">XLOOKUP(A283,protein_data!A:A,protein_data!B:B,"")</f>
        <v>129</v>
      </c>
      <c r="J283" s="5" t="str">
        <f t="shared" si="12"/>
        <v>Responder</v>
      </c>
    </row>
    <row r="284" ht="22.5" customHeight="1">
      <c r="A284" s="3" t="s">
        <v>299</v>
      </c>
      <c r="B284" s="4">
        <v>44.0</v>
      </c>
      <c r="C284" s="3" t="s">
        <v>21</v>
      </c>
      <c r="D284" s="4">
        <v>111.59</v>
      </c>
      <c r="E284" s="4">
        <v>1.86</v>
      </c>
      <c r="F284" s="3" t="s">
        <v>12</v>
      </c>
      <c r="G284" s="3" t="s">
        <v>13</v>
      </c>
      <c r="H284" s="5">
        <f t="shared" si="11"/>
        <v>32.25517401</v>
      </c>
      <c r="I284" s="5">
        <f t="array" ref="I284">XLOOKUP(A284,protein_data!A:A,protein_data!B:B,"")</f>
        <v>133</v>
      </c>
      <c r="J284" s="5" t="str">
        <f t="shared" si="12"/>
        <v>Non-Responder</v>
      </c>
    </row>
    <row r="285" ht="22.5" customHeight="1">
      <c r="A285" s="3" t="s">
        <v>300</v>
      </c>
      <c r="B285" s="4">
        <v>56.0</v>
      </c>
      <c r="C285" s="3" t="s">
        <v>11</v>
      </c>
      <c r="D285" s="4">
        <v>78.93</v>
      </c>
      <c r="E285" s="4">
        <v>1.61</v>
      </c>
      <c r="F285" s="3" t="s">
        <v>12</v>
      </c>
      <c r="G285" s="3" t="s">
        <v>13</v>
      </c>
      <c r="H285" s="5">
        <f t="shared" si="11"/>
        <v>30.45021411</v>
      </c>
      <c r="I285" s="5">
        <f t="array" ref="I285">XLOOKUP(A285,protein_data!A:A,protein_data!B:B,"")</f>
        <v>161</v>
      </c>
      <c r="J285" s="5" t="str">
        <f t="shared" si="12"/>
        <v>Non-Responder</v>
      </c>
    </row>
    <row r="286" ht="22.5" customHeight="1">
      <c r="A286" s="3" t="s">
        <v>301</v>
      </c>
      <c r="B286" s="4">
        <v>68.0</v>
      </c>
      <c r="C286" s="3" t="s">
        <v>11</v>
      </c>
      <c r="D286" s="4">
        <v>73.16</v>
      </c>
      <c r="E286" s="4">
        <v>1.65</v>
      </c>
      <c r="F286" s="3" t="s">
        <v>12</v>
      </c>
      <c r="G286" s="3" t="s">
        <v>15</v>
      </c>
      <c r="H286" s="5">
        <f t="shared" si="11"/>
        <v>26.87235996</v>
      </c>
      <c r="I286" s="5">
        <f t="array" ref="I286">XLOOKUP(A286,protein_data!A:A,protein_data!B:B,"")</f>
        <v>108</v>
      </c>
      <c r="J286" s="5" t="str">
        <f t="shared" si="12"/>
        <v>Responder</v>
      </c>
    </row>
    <row r="287" ht="22.5" customHeight="1">
      <c r="A287" s="3" t="s">
        <v>302</v>
      </c>
      <c r="B287" s="4">
        <v>59.0</v>
      </c>
      <c r="C287" s="3" t="s">
        <v>11</v>
      </c>
      <c r="D287" s="4">
        <v>63.84</v>
      </c>
      <c r="E287" s="4">
        <v>1.57</v>
      </c>
      <c r="F287" s="3" t="s">
        <v>17</v>
      </c>
      <c r="G287" s="3" t="s">
        <v>13</v>
      </c>
      <c r="H287" s="5">
        <f t="shared" si="11"/>
        <v>25.89963082</v>
      </c>
      <c r="I287" s="5">
        <f t="array" ref="I287">XLOOKUP(A287,protein_data!A:A,protein_data!B:B,"")</f>
        <v>136</v>
      </c>
      <c r="J287" s="5" t="str">
        <f t="shared" si="12"/>
        <v>Non-Responder</v>
      </c>
    </row>
    <row r="288" ht="22.5" customHeight="1">
      <c r="A288" s="3" t="s">
        <v>303</v>
      </c>
      <c r="B288" s="4">
        <v>43.0</v>
      </c>
      <c r="C288" s="3" t="s">
        <v>11</v>
      </c>
      <c r="D288" s="4">
        <v>93.28</v>
      </c>
      <c r="E288" s="4">
        <v>1.55</v>
      </c>
      <c r="F288" s="3" t="s">
        <v>17</v>
      </c>
      <c r="G288" s="3" t="s">
        <v>13</v>
      </c>
      <c r="H288" s="5">
        <f t="shared" si="11"/>
        <v>38.82622268</v>
      </c>
      <c r="I288" s="5">
        <f t="array" ref="I288">XLOOKUP(A288,protein_data!A:A,protein_data!B:B,"")</f>
        <v>155</v>
      </c>
      <c r="J288" s="5" t="str">
        <f t="shared" si="12"/>
        <v>Non-Responder</v>
      </c>
    </row>
    <row r="289" ht="22.5" customHeight="1">
      <c r="A289" s="3" t="s">
        <v>304</v>
      </c>
      <c r="B289" s="4">
        <v>59.0</v>
      </c>
      <c r="C289" s="3" t="s">
        <v>11</v>
      </c>
      <c r="D289" s="4">
        <v>118.33</v>
      </c>
      <c r="E289" s="4">
        <v>1.61</v>
      </c>
      <c r="F289" s="3" t="s">
        <v>17</v>
      </c>
      <c r="G289" s="3" t="s">
        <v>15</v>
      </c>
      <c r="H289" s="5">
        <f t="shared" si="11"/>
        <v>45.65024498</v>
      </c>
      <c r="I289" s="5">
        <f t="array" ref="I289">XLOOKUP(A289,protein_data!A:A,protein_data!B:B,"")</f>
        <v>119</v>
      </c>
      <c r="J289" s="5" t="str">
        <f t="shared" si="12"/>
        <v>Responder</v>
      </c>
    </row>
    <row r="290" ht="22.5" customHeight="1">
      <c r="A290" s="3" t="s">
        <v>305</v>
      </c>
      <c r="B290" s="4">
        <v>79.0</v>
      </c>
      <c r="C290" s="3" t="s">
        <v>21</v>
      </c>
      <c r="D290" s="4">
        <v>65.9</v>
      </c>
      <c r="E290" s="4">
        <v>1.79</v>
      </c>
      <c r="F290" s="3" t="s">
        <v>12</v>
      </c>
      <c r="G290" s="3" t="s">
        <v>13</v>
      </c>
      <c r="H290" s="5">
        <f t="shared" si="11"/>
        <v>20.56739802</v>
      </c>
      <c r="I290" s="5">
        <f t="array" ref="I290">XLOOKUP(A290,protein_data!A:A,protein_data!B:B,"")</f>
        <v>96</v>
      </c>
      <c r="J290" s="5" t="str">
        <f t="shared" si="12"/>
        <v>Non-Responder</v>
      </c>
    </row>
    <row r="291" ht="22.5" customHeight="1">
      <c r="A291" s="3" t="s">
        <v>306</v>
      </c>
      <c r="B291" s="4">
        <v>58.0</v>
      </c>
      <c r="C291" s="3" t="s">
        <v>11</v>
      </c>
      <c r="D291" s="4">
        <v>94.16</v>
      </c>
      <c r="E291" s="4">
        <v>1.61</v>
      </c>
      <c r="F291" s="3" t="s">
        <v>12</v>
      </c>
      <c r="G291" s="3" t="s">
        <v>15</v>
      </c>
      <c r="H291" s="5">
        <f t="shared" si="11"/>
        <v>36.32575904</v>
      </c>
      <c r="I291" s="5">
        <f t="array" ref="I291">XLOOKUP(A291,protein_data!A:A,protein_data!B:B,"")</f>
        <v>108</v>
      </c>
      <c r="J291" s="5" t="str">
        <f t="shared" si="12"/>
        <v>Responder</v>
      </c>
    </row>
    <row r="292" ht="22.5" customHeight="1">
      <c r="A292" s="3" t="s">
        <v>307</v>
      </c>
      <c r="B292" s="4">
        <v>58.0</v>
      </c>
      <c r="C292" s="3" t="s">
        <v>11</v>
      </c>
      <c r="D292" s="4">
        <v>103.15</v>
      </c>
      <c r="E292" s="4">
        <v>1.67</v>
      </c>
      <c r="F292" s="3" t="s">
        <v>17</v>
      </c>
      <c r="G292" s="3" t="s">
        <v>13</v>
      </c>
      <c r="H292" s="5">
        <f t="shared" si="11"/>
        <v>36.98590842</v>
      </c>
      <c r="I292" s="5">
        <f t="array" ref="I292">XLOOKUP(A292,protein_data!A:A,protein_data!B:B,"")</f>
        <v>78</v>
      </c>
      <c r="J292" s="5" t="str">
        <f t="shared" si="12"/>
        <v>Non-Responder</v>
      </c>
    </row>
    <row r="293" ht="22.5" customHeight="1">
      <c r="A293" s="3" t="s">
        <v>308</v>
      </c>
      <c r="B293" s="4">
        <v>68.0</v>
      </c>
      <c r="C293" s="3" t="s">
        <v>11</v>
      </c>
      <c r="D293" s="4">
        <v>90.38</v>
      </c>
      <c r="E293" s="4">
        <v>1.57</v>
      </c>
      <c r="F293" s="3" t="s">
        <v>17</v>
      </c>
      <c r="G293" s="3" t="s">
        <v>13</v>
      </c>
      <c r="H293" s="5">
        <f t="shared" si="11"/>
        <v>36.6668019</v>
      </c>
      <c r="I293" s="5">
        <f t="array" ref="I293">XLOOKUP(A293,protein_data!A:A,protein_data!B:B,"")</f>
        <v>107</v>
      </c>
      <c r="J293" s="5" t="str">
        <f t="shared" si="12"/>
        <v>Non-Responder</v>
      </c>
    </row>
    <row r="294" ht="22.5" customHeight="1">
      <c r="A294" s="3" t="s">
        <v>309</v>
      </c>
      <c r="B294" s="4">
        <v>58.0</v>
      </c>
      <c r="C294" s="3" t="s">
        <v>11</v>
      </c>
      <c r="D294" s="4">
        <v>121.08</v>
      </c>
      <c r="E294" s="4">
        <v>1.67</v>
      </c>
      <c r="F294" s="3" t="s">
        <v>12</v>
      </c>
      <c r="G294" s="3" t="s">
        <v>15</v>
      </c>
      <c r="H294" s="5">
        <f t="shared" si="11"/>
        <v>43.41496647</v>
      </c>
      <c r="I294" s="5">
        <f t="array" ref="I294">XLOOKUP(A294,protein_data!A:A,protein_data!B:B,"")</f>
        <v>128</v>
      </c>
      <c r="J294" s="5" t="str">
        <f t="shared" si="12"/>
        <v>Responder</v>
      </c>
    </row>
    <row r="295" ht="22.5" customHeight="1">
      <c r="A295" s="3" t="s">
        <v>310</v>
      </c>
      <c r="B295" s="4">
        <v>50.0</v>
      </c>
      <c r="C295" s="3" t="s">
        <v>11</v>
      </c>
      <c r="D295" s="4">
        <v>91.92</v>
      </c>
      <c r="E295" s="4">
        <v>1.51</v>
      </c>
      <c r="F295" s="3" t="s">
        <v>12</v>
      </c>
      <c r="G295" s="3" t="s">
        <v>15</v>
      </c>
      <c r="H295" s="5">
        <f t="shared" si="11"/>
        <v>40.31402131</v>
      </c>
      <c r="I295" s="5">
        <f t="array" ref="I295">XLOOKUP(A295,protein_data!A:A,protein_data!B:B,"")</f>
        <v>128</v>
      </c>
      <c r="J295" s="5" t="str">
        <f t="shared" si="12"/>
        <v>Responder</v>
      </c>
    </row>
    <row r="296" ht="22.5" customHeight="1">
      <c r="A296" s="3" t="s">
        <v>311</v>
      </c>
      <c r="B296" s="4">
        <v>68.0</v>
      </c>
      <c r="C296" s="3" t="s">
        <v>21</v>
      </c>
      <c r="D296" s="4">
        <v>70.92</v>
      </c>
      <c r="E296" s="4">
        <v>1.81</v>
      </c>
      <c r="F296" s="3" t="s">
        <v>17</v>
      </c>
      <c r="G296" s="3" t="s">
        <v>13</v>
      </c>
      <c r="H296" s="5">
        <f t="shared" si="11"/>
        <v>21.64769085</v>
      </c>
      <c r="I296" s="5">
        <f t="array" ref="I296">XLOOKUP(A296,protein_data!A:A,protein_data!B:B,"")</f>
        <v>161</v>
      </c>
      <c r="J296" s="5" t="str">
        <f t="shared" si="12"/>
        <v>Non-Responder</v>
      </c>
    </row>
    <row r="297" ht="22.5" customHeight="1">
      <c r="A297" s="3" t="s">
        <v>312</v>
      </c>
      <c r="B297" s="4">
        <v>65.0</v>
      </c>
      <c r="C297" s="3" t="s">
        <v>11</v>
      </c>
      <c r="D297" s="4">
        <v>93.28</v>
      </c>
      <c r="E297" s="4">
        <v>1.62</v>
      </c>
      <c r="F297" s="3" t="s">
        <v>17</v>
      </c>
      <c r="G297" s="3" t="s">
        <v>13</v>
      </c>
      <c r="H297" s="5">
        <f t="shared" si="11"/>
        <v>35.54336229</v>
      </c>
      <c r="I297" s="5">
        <f t="array" ref="I297">XLOOKUP(A297,protein_data!A:A,protein_data!B:B,"")</f>
        <v>151</v>
      </c>
      <c r="J297" s="5" t="str">
        <f t="shared" si="12"/>
        <v>Non-Responder</v>
      </c>
    </row>
    <row r="298" ht="22.5" customHeight="1">
      <c r="A298" s="3" t="s">
        <v>313</v>
      </c>
      <c r="B298" s="4">
        <v>45.0</v>
      </c>
      <c r="C298" s="3" t="s">
        <v>11</v>
      </c>
      <c r="D298" s="4">
        <v>78.69</v>
      </c>
      <c r="E298" s="4">
        <v>1.68</v>
      </c>
      <c r="F298" s="3" t="s">
        <v>17</v>
      </c>
      <c r="G298" s="3" t="s">
        <v>13</v>
      </c>
      <c r="H298" s="5">
        <f t="shared" si="11"/>
        <v>27.88052721</v>
      </c>
      <c r="I298" s="5">
        <f t="array" ref="I298">XLOOKUP(A298,protein_data!A:A,protein_data!B:B,"")</f>
        <v>146</v>
      </c>
      <c r="J298" s="5" t="str">
        <f t="shared" si="12"/>
        <v>Non-Responder</v>
      </c>
    </row>
    <row r="299" ht="22.5" customHeight="1">
      <c r="A299" s="3" t="s">
        <v>314</v>
      </c>
      <c r="B299" s="4">
        <v>59.0</v>
      </c>
      <c r="C299" s="3" t="s">
        <v>11</v>
      </c>
      <c r="D299" s="4">
        <v>71.56</v>
      </c>
      <c r="E299" s="4">
        <v>1.53</v>
      </c>
      <c r="F299" s="3" t="s">
        <v>17</v>
      </c>
      <c r="G299" s="3" t="s">
        <v>13</v>
      </c>
      <c r="H299" s="5">
        <f t="shared" si="11"/>
        <v>30.5694391</v>
      </c>
      <c r="I299" s="5">
        <f t="array" ref="I299">XLOOKUP(A299,protein_data!A:A,protein_data!B:B,"")</f>
        <v>126</v>
      </c>
      <c r="J299" s="5" t="str">
        <f t="shared" si="12"/>
        <v>Non-Responder</v>
      </c>
    </row>
    <row r="300" ht="22.5" customHeight="1">
      <c r="A300" s="3" t="s">
        <v>315</v>
      </c>
      <c r="B300" s="4">
        <v>60.0</v>
      </c>
      <c r="C300" s="3" t="s">
        <v>11</v>
      </c>
      <c r="D300" s="4">
        <v>93.48</v>
      </c>
      <c r="E300" s="4">
        <v>1.6</v>
      </c>
      <c r="F300" s="3" t="s">
        <v>17</v>
      </c>
      <c r="G300" s="3" t="s">
        <v>15</v>
      </c>
      <c r="H300" s="5">
        <f t="shared" si="11"/>
        <v>36.515625</v>
      </c>
      <c r="I300" s="5">
        <f t="array" ref="I300">XLOOKUP(A300,protein_data!A:A,protein_data!B:B,"")</f>
        <v>100</v>
      </c>
      <c r="J300" s="5" t="str">
        <f t="shared" si="12"/>
        <v>Responder</v>
      </c>
    </row>
    <row r="301" ht="22.5" customHeight="1">
      <c r="A301" s="3" t="s">
        <v>316</v>
      </c>
      <c r="B301" s="4">
        <v>61.0</v>
      </c>
      <c r="C301" s="3" t="s">
        <v>11</v>
      </c>
      <c r="D301" s="4">
        <v>54.62</v>
      </c>
      <c r="E301" s="4">
        <v>1.52</v>
      </c>
      <c r="F301" s="3" t="s">
        <v>17</v>
      </c>
      <c r="G301" s="3" t="s">
        <v>13</v>
      </c>
      <c r="H301" s="5">
        <f t="shared" si="11"/>
        <v>23.64092798</v>
      </c>
      <c r="I301" s="5">
        <f t="array" ref="I301">XLOOKUP(A301,protein_data!A:A,protein_data!B:B,"")</f>
        <v>112</v>
      </c>
      <c r="J301" s="5" t="str">
        <f t="shared" si="12"/>
        <v>Non-Responder</v>
      </c>
    </row>
    <row r="302" ht="22.5" customHeight="1">
      <c r="A302" s="3" t="s">
        <v>317</v>
      </c>
      <c r="B302" s="4">
        <v>69.0</v>
      </c>
      <c r="C302" s="3" t="s">
        <v>11</v>
      </c>
      <c r="D302" s="4">
        <v>73.61</v>
      </c>
      <c r="E302" s="4">
        <v>1.51</v>
      </c>
      <c r="F302" s="3" t="s">
        <v>12</v>
      </c>
      <c r="G302" s="3" t="s">
        <v>13</v>
      </c>
      <c r="H302" s="5">
        <f t="shared" si="11"/>
        <v>32.28367177</v>
      </c>
      <c r="I302" s="5">
        <f t="array" ref="I302">XLOOKUP(A302,protein_data!A:A,protein_data!B:B,"")</f>
        <v>167</v>
      </c>
      <c r="J302" s="5" t="str">
        <f t="shared" si="12"/>
        <v>Non-Responder</v>
      </c>
    </row>
    <row r="303" ht="22.5" customHeight="1">
      <c r="A303" s="3" t="s">
        <v>318</v>
      </c>
      <c r="B303" s="4">
        <v>63.0</v>
      </c>
      <c r="C303" s="3" t="s">
        <v>21</v>
      </c>
      <c r="D303" s="4">
        <v>96.87</v>
      </c>
      <c r="E303" s="4">
        <v>1.76</v>
      </c>
      <c r="F303" s="3" t="s">
        <v>12</v>
      </c>
      <c r="G303" s="3" t="s">
        <v>13</v>
      </c>
      <c r="H303" s="5">
        <f t="shared" si="11"/>
        <v>31.27259814</v>
      </c>
      <c r="I303" s="5">
        <f t="array" ref="I303">XLOOKUP(A303,protein_data!A:A,protein_data!B:B,"")</f>
        <v>144</v>
      </c>
      <c r="J303" s="5" t="str">
        <f t="shared" si="12"/>
        <v>Non-Responder</v>
      </c>
    </row>
    <row r="304" ht="22.5" customHeight="1">
      <c r="A304" s="3" t="s">
        <v>319</v>
      </c>
      <c r="B304" s="4">
        <v>70.0</v>
      </c>
      <c r="C304" s="3" t="s">
        <v>21</v>
      </c>
      <c r="D304" s="4">
        <v>100.65</v>
      </c>
      <c r="E304" s="4">
        <v>1.68</v>
      </c>
      <c r="F304" s="3" t="s">
        <v>17</v>
      </c>
      <c r="G304" s="3" t="s">
        <v>15</v>
      </c>
      <c r="H304" s="5">
        <f t="shared" si="11"/>
        <v>35.66113946</v>
      </c>
      <c r="I304" s="5">
        <f t="array" ref="I304">XLOOKUP(A304,protein_data!A:A,protein_data!B:B,"")</f>
        <v>77</v>
      </c>
      <c r="J304" s="5" t="str">
        <f t="shared" si="12"/>
        <v>Responder</v>
      </c>
    </row>
    <row r="305" ht="22.5" customHeight="1">
      <c r="A305" s="3" t="s">
        <v>320</v>
      </c>
      <c r="B305" s="4">
        <v>62.0</v>
      </c>
      <c r="C305" s="3" t="s">
        <v>11</v>
      </c>
      <c r="D305" s="4">
        <v>124.9</v>
      </c>
      <c r="E305" s="4">
        <v>1.54</v>
      </c>
      <c r="F305" s="3" t="s">
        <v>17</v>
      </c>
      <c r="G305" s="3" t="s">
        <v>15</v>
      </c>
      <c r="H305" s="5">
        <f t="shared" si="11"/>
        <v>52.6648676</v>
      </c>
      <c r="I305" s="5">
        <f t="array" ref="I305">XLOOKUP(A305,protein_data!A:A,protein_data!B:B,"")</f>
        <v>115</v>
      </c>
      <c r="J305" s="5" t="str">
        <f t="shared" si="12"/>
        <v>Responder</v>
      </c>
    </row>
    <row r="306" ht="22.5" customHeight="1">
      <c r="A306" s="3" t="s">
        <v>321</v>
      </c>
      <c r="B306" s="4">
        <v>56.0</v>
      </c>
      <c r="C306" s="3" t="s">
        <v>11</v>
      </c>
      <c r="D306" s="4">
        <v>48.3</v>
      </c>
      <c r="E306" s="4">
        <v>1.52</v>
      </c>
      <c r="F306" s="3" t="s">
        <v>12</v>
      </c>
      <c r="G306" s="3" t="s">
        <v>13</v>
      </c>
      <c r="H306" s="5">
        <f t="shared" si="11"/>
        <v>20.90547091</v>
      </c>
      <c r="I306" s="5">
        <f t="array" ref="I306">XLOOKUP(A306,protein_data!A:A,protein_data!B:B,"")</f>
        <v>150</v>
      </c>
      <c r="J306" s="5" t="str">
        <f t="shared" si="12"/>
        <v>Non-Responder</v>
      </c>
    </row>
    <row r="307" ht="22.5" customHeight="1">
      <c r="A307" s="3" t="s">
        <v>322</v>
      </c>
      <c r="B307" s="4">
        <v>60.0</v>
      </c>
      <c r="C307" s="3" t="s">
        <v>21</v>
      </c>
      <c r="D307" s="4">
        <v>128.35</v>
      </c>
      <c r="E307" s="4">
        <v>1.81</v>
      </c>
      <c r="F307" s="3" t="s">
        <v>12</v>
      </c>
      <c r="G307" s="3" t="s">
        <v>15</v>
      </c>
      <c r="H307" s="5">
        <f t="shared" si="11"/>
        <v>39.17768078</v>
      </c>
      <c r="I307" s="5">
        <f t="array" ref="I307">XLOOKUP(A307,protein_data!A:A,protein_data!B:B,"")</f>
        <v>120</v>
      </c>
      <c r="J307" s="5" t="str">
        <f t="shared" si="12"/>
        <v>Responder</v>
      </c>
    </row>
    <row r="308" ht="22.5" customHeight="1">
      <c r="A308" s="3" t="s">
        <v>323</v>
      </c>
      <c r="B308" s="4">
        <v>67.0</v>
      </c>
      <c r="C308" s="3" t="s">
        <v>11</v>
      </c>
      <c r="D308" s="4">
        <v>69.32</v>
      </c>
      <c r="E308" s="4">
        <v>1.65</v>
      </c>
      <c r="F308" s="3" t="s">
        <v>12</v>
      </c>
      <c r="G308" s="3" t="s">
        <v>13</v>
      </c>
      <c r="H308" s="5">
        <f t="shared" si="11"/>
        <v>25.46189164</v>
      </c>
      <c r="I308" s="5">
        <f t="array" ref="I308">XLOOKUP(A308,protein_data!A:A,protein_data!B:B,"")</f>
        <v>161</v>
      </c>
      <c r="J308" s="5" t="str">
        <f t="shared" si="12"/>
        <v>Non-Responder</v>
      </c>
    </row>
    <row r="309" ht="22.5" customHeight="1">
      <c r="A309" s="3" t="s">
        <v>324</v>
      </c>
      <c r="B309" s="4">
        <v>51.0</v>
      </c>
      <c r="C309" s="3" t="s">
        <v>11</v>
      </c>
      <c r="D309" s="4">
        <v>64.69</v>
      </c>
      <c r="E309" s="4">
        <v>1.62</v>
      </c>
      <c r="F309" s="3" t="s">
        <v>12</v>
      </c>
      <c r="G309" s="3" t="s">
        <v>13</v>
      </c>
      <c r="H309" s="5">
        <f t="shared" si="11"/>
        <v>24.64944368</v>
      </c>
      <c r="I309" s="5">
        <f t="array" ref="I309">XLOOKUP(A309,protein_data!A:A,protein_data!B:B,"")</f>
        <v>137</v>
      </c>
      <c r="J309" s="5" t="str">
        <f t="shared" si="12"/>
        <v>Non-Responder</v>
      </c>
    </row>
    <row r="310" ht="22.5" customHeight="1">
      <c r="A310" s="3" t="s">
        <v>325</v>
      </c>
      <c r="B310" s="4">
        <v>62.0</v>
      </c>
      <c r="C310" s="3" t="s">
        <v>11</v>
      </c>
      <c r="D310" s="4">
        <v>82.24</v>
      </c>
      <c r="E310" s="4">
        <v>1.64</v>
      </c>
      <c r="F310" s="3" t="s">
        <v>17</v>
      </c>
      <c r="G310" s="3" t="s">
        <v>13</v>
      </c>
      <c r="H310" s="5">
        <f t="shared" si="11"/>
        <v>30.57703748</v>
      </c>
      <c r="I310" s="5">
        <f t="array" ref="I310">XLOOKUP(A310,protein_data!A:A,protein_data!B:B,"")</f>
        <v>128</v>
      </c>
      <c r="J310" s="5" t="str">
        <f t="shared" si="12"/>
        <v>Non-Responder</v>
      </c>
    </row>
    <row r="311" ht="22.5" customHeight="1">
      <c r="A311" s="3" t="s">
        <v>326</v>
      </c>
      <c r="B311" s="4">
        <v>53.0</v>
      </c>
      <c r="C311" s="3" t="s">
        <v>11</v>
      </c>
      <c r="D311" s="4">
        <v>82.55</v>
      </c>
      <c r="E311" s="4">
        <v>1.58</v>
      </c>
      <c r="F311" s="3" t="s">
        <v>17</v>
      </c>
      <c r="G311" s="3" t="s">
        <v>13</v>
      </c>
      <c r="H311" s="5">
        <f t="shared" si="11"/>
        <v>33.06761737</v>
      </c>
      <c r="I311" s="5">
        <f t="array" ref="I311">XLOOKUP(A311,protein_data!A:A,protein_data!B:B,"")</f>
        <v>124</v>
      </c>
      <c r="J311" s="5" t="str">
        <f t="shared" si="12"/>
        <v>Non-Responder</v>
      </c>
    </row>
    <row r="312" ht="22.5" customHeight="1">
      <c r="A312" s="3" t="s">
        <v>327</v>
      </c>
      <c r="B312" s="4">
        <v>67.0</v>
      </c>
      <c r="C312" s="3" t="s">
        <v>11</v>
      </c>
      <c r="D312" s="4">
        <v>71.38</v>
      </c>
      <c r="E312" s="4">
        <v>1.65</v>
      </c>
      <c r="F312" s="3" t="s">
        <v>17</v>
      </c>
      <c r="G312" s="3" t="s">
        <v>15</v>
      </c>
      <c r="H312" s="5">
        <f t="shared" si="11"/>
        <v>26.21854913</v>
      </c>
      <c r="I312" s="5">
        <f t="array" ref="I312">XLOOKUP(A312,protein_data!A:A,protein_data!B:B,"")</f>
        <v>80</v>
      </c>
      <c r="J312" s="5" t="str">
        <f t="shared" si="12"/>
        <v>Responder</v>
      </c>
    </row>
    <row r="313" ht="22.5" customHeight="1">
      <c r="A313" s="3" t="s">
        <v>328</v>
      </c>
      <c r="B313" s="4">
        <v>75.0</v>
      </c>
      <c r="C313" s="3" t="s">
        <v>11</v>
      </c>
      <c r="D313" s="4">
        <v>113.45</v>
      </c>
      <c r="E313" s="4">
        <v>1.7</v>
      </c>
      <c r="F313" s="3" t="s">
        <v>17</v>
      </c>
      <c r="G313" s="3" t="s">
        <v>13</v>
      </c>
      <c r="H313" s="5">
        <f t="shared" si="11"/>
        <v>39.25605536</v>
      </c>
      <c r="I313" s="5">
        <f t="array" ref="I313">XLOOKUP(A313,protein_data!A:A,protein_data!B:B,"")</f>
        <v>106</v>
      </c>
      <c r="J313" s="5" t="str">
        <f t="shared" si="12"/>
        <v>Non-Responder</v>
      </c>
    </row>
    <row r="314" ht="22.5" customHeight="1">
      <c r="A314" s="3" t="s">
        <v>329</v>
      </c>
      <c r="B314" s="4">
        <v>49.0</v>
      </c>
      <c r="C314" s="3" t="s">
        <v>21</v>
      </c>
      <c r="D314" s="4">
        <v>79.62</v>
      </c>
      <c r="E314" s="4">
        <v>1.74</v>
      </c>
      <c r="F314" s="3" t="s">
        <v>12</v>
      </c>
      <c r="G314" s="3" t="s">
        <v>13</v>
      </c>
      <c r="H314" s="5">
        <f t="shared" si="11"/>
        <v>26.29805787</v>
      </c>
      <c r="I314" s="5">
        <f t="array" ref="I314">XLOOKUP(A314,protein_data!A:A,protein_data!B:B,"")</f>
        <v>155</v>
      </c>
      <c r="J314" s="5" t="str">
        <f t="shared" si="12"/>
        <v>Non-Responder</v>
      </c>
    </row>
    <row r="315" ht="22.5" customHeight="1">
      <c r="A315" s="3" t="s">
        <v>330</v>
      </c>
      <c r="B315" s="4">
        <v>69.0</v>
      </c>
      <c r="C315" s="3" t="s">
        <v>21</v>
      </c>
      <c r="D315" s="4">
        <v>87.31</v>
      </c>
      <c r="E315" s="4">
        <v>1.73</v>
      </c>
      <c r="F315" s="3" t="s">
        <v>17</v>
      </c>
      <c r="G315" s="3" t="s">
        <v>13</v>
      </c>
      <c r="H315" s="5">
        <f t="shared" si="11"/>
        <v>29.17237462</v>
      </c>
      <c r="I315" s="5">
        <f t="array" ref="I315">XLOOKUP(A315,protein_data!A:A,protein_data!B:B,"")</f>
        <v>113</v>
      </c>
      <c r="J315" s="5" t="str">
        <f t="shared" si="12"/>
        <v>Non-Responder</v>
      </c>
    </row>
    <row r="316" ht="22.5" customHeight="1">
      <c r="A316" s="3" t="s">
        <v>331</v>
      </c>
      <c r="B316" s="4">
        <v>59.0</v>
      </c>
      <c r="C316" s="3" t="s">
        <v>11</v>
      </c>
      <c r="D316" s="4">
        <v>87.44</v>
      </c>
      <c r="E316" s="4">
        <v>1.56</v>
      </c>
      <c r="F316" s="3" t="s">
        <v>17</v>
      </c>
      <c r="G316" s="3" t="s">
        <v>13</v>
      </c>
      <c r="H316" s="5">
        <f t="shared" si="11"/>
        <v>35.93030901</v>
      </c>
      <c r="I316" s="5">
        <f t="array" ref="I316">XLOOKUP(A316,protein_data!A:A,protein_data!B:B,"")</f>
        <v>109</v>
      </c>
      <c r="J316" s="5" t="str">
        <f t="shared" si="12"/>
        <v>Non-Responder</v>
      </c>
    </row>
    <row r="317" ht="22.5" customHeight="1">
      <c r="A317" s="3" t="s">
        <v>332</v>
      </c>
      <c r="B317" s="4">
        <v>66.0</v>
      </c>
      <c r="C317" s="3" t="s">
        <v>21</v>
      </c>
      <c r="D317" s="4">
        <v>104.65</v>
      </c>
      <c r="E317" s="4">
        <v>1.76</v>
      </c>
      <c r="F317" s="3" t="s">
        <v>12</v>
      </c>
      <c r="G317" s="3" t="s">
        <v>15</v>
      </c>
      <c r="H317" s="5">
        <f t="shared" si="11"/>
        <v>33.78422004</v>
      </c>
      <c r="I317" s="5">
        <f t="array" ref="I317">XLOOKUP(A317,protein_data!A:A,protein_data!B:B,"")</f>
        <v>112</v>
      </c>
      <c r="J317" s="5" t="str">
        <f t="shared" si="12"/>
        <v>Responder</v>
      </c>
    </row>
    <row r="318" ht="22.5" customHeight="1">
      <c r="A318" s="3" t="s">
        <v>333</v>
      </c>
      <c r="B318" s="4">
        <v>52.0</v>
      </c>
      <c r="C318" s="3" t="s">
        <v>21</v>
      </c>
      <c r="D318" s="4">
        <v>55.33</v>
      </c>
      <c r="E318" s="4">
        <v>1.7</v>
      </c>
      <c r="F318" s="3" t="s">
        <v>12</v>
      </c>
      <c r="G318" s="3" t="s">
        <v>13</v>
      </c>
      <c r="H318" s="5">
        <f t="shared" si="11"/>
        <v>19.14532872</v>
      </c>
      <c r="I318" s="5">
        <f t="array" ref="I318">XLOOKUP(A318,protein_data!A:A,protein_data!B:B,"")</f>
        <v>99</v>
      </c>
      <c r="J318" s="5" t="str">
        <f t="shared" si="12"/>
        <v>Non-Responder</v>
      </c>
    </row>
    <row r="319" ht="22.5" customHeight="1">
      <c r="A319" s="3" t="s">
        <v>334</v>
      </c>
      <c r="B319" s="4">
        <v>65.0</v>
      </c>
      <c r="C319" s="3" t="s">
        <v>21</v>
      </c>
      <c r="D319" s="4">
        <v>90.61</v>
      </c>
      <c r="E319" s="4">
        <v>1.73</v>
      </c>
      <c r="F319" s="3" t="s">
        <v>17</v>
      </c>
      <c r="G319" s="3" t="s">
        <v>13</v>
      </c>
      <c r="H319" s="5">
        <f t="shared" si="11"/>
        <v>30.27498413</v>
      </c>
      <c r="I319" s="5">
        <f t="array" ref="I319">XLOOKUP(A319,protein_data!A:A,protein_data!B:B,"")</f>
        <v>182</v>
      </c>
      <c r="J319" s="5" t="str">
        <f t="shared" si="12"/>
        <v>Non-Responder</v>
      </c>
    </row>
    <row r="320" ht="22.5" customHeight="1">
      <c r="A320" s="3" t="s">
        <v>335</v>
      </c>
      <c r="B320" s="4">
        <v>63.0</v>
      </c>
      <c r="C320" s="3" t="s">
        <v>21</v>
      </c>
      <c r="D320" s="4">
        <v>115.88</v>
      </c>
      <c r="E320" s="4">
        <v>1.75</v>
      </c>
      <c r="F320" s="3" t="s">
        <v>17</v>
      </c>
      <c r="G320" s="3" t="s">
        <v>15</v>
      </c>
      <c r="H320" s="5">
        <f t="shared" si="11"/>
        <v>37.83836735</v>
      </c>
      <c r="I320" s="5">
        <f t="array" ref="I320">XLOOKUP(A320,protein_data!A:A,protein_data!B:B,"")</f>
        <v>115</v>
      </c>
      <c r="J320" s="5" t="str">
        <f t="shared" si="12"/>
        <v>Responder</v>
      </c>
    </row>
    <row r="321" ht="22.5" customHeight="1">
      <c r="A321" s="3" t="s">
        <v>336</v>
      </c>
      <c r="B321" s="4">
        <v>58.0</v>
      </c>
      <c r="C321" s="3" t="s">
        <v>11</v>
      </c>
      <c r="D321" s="4">
        <v>61.61</v>
      </c>
      <c r="E321" s="4">
        <v>1.62</v>
      </c>
      <c r="F321" s="3" t="s">
        <v>17</v>
      </c>
      <c r="G321" s="3" t="s">
        <v>13</v>
      </c>
      <c r="H321" s="5">
        <f t="shared" si="11"/>
        <v>23.4758421</v>
      </c>
      <c r="I321" s="5">
        <f t="array" ref="I321">XLOOKUP(A321,protein_data!A:A,protein_data!B:B,"")</f>
        <v>194</v>
      </c>
      <c r="J321" s="5" t="str">
        <f t="shared" si="12"/>
        <v>Non-Responder</v>
      </c>
    </row>
    <row r="322" ht="22.5" customHeight="1">
      <c r="A322" s="3" t="s">
        <v>337</v>
      </c>
      <c r="B322" s="4">
        <v>68.0</v>
      </c>
      <c r="C322" s="3" t="s">
        <v>11</v>
      </c>
      <c r="D322" s="4">
        <v>72.6</v>
      </c>
      <c r="E322" s="4">
        <v>1.62</v>
      </c>
      <c r="F322" s="3" t="s">
        <v>17</v>
      </c>
      <c r="G322" s="3" t="s">
        <v>15</v>
      </c>
      <c r="H322" s="5">
        <f t="shared" si="11"/>
        <v>27.66346594</v>
      </c>
      <c r="I322" s="5">
        <f t="array" ref="I322">XLOOKUP(A322,protein_data!A:A,protein_data!B:B,"")</f>
        <v>129</v>
      </c>
      <c r="J322" s="5" t="str">
        <f t="shared" si="12"/>
        <v>Responder</v>
      </c>
    </row>
    <row r="323" ht="22.5" customHeight="1">
      <c r="A323" s="3" t="s">
        <v>338</v>
      </c>
      <c r="B323" s="4">
        <v>61.0</v>
      </c>
      <c r="C323" s="3" t="s">
        <v>11</v>
      </c>
      <c r="D323" s="4">
        <v>85.69</v>
      </c>
      <c r="E323" s="4">
        <v>1.65</v>
      </c>
      <c r="F323" s="3" t="s">
        <v>12</v>
      </c>
      <c r="G323" s="3" t="s">
        <v>15</v>
      </c>
      <c r="H323" s="5">
        <f t="shared" si="11"/>
        <v>31.47474747</v>
      </c>
      <c r="I323" s="5">
        <f t="array" ref="I323">XLOOKUP(A323,protein_data!A:A,protein_data!B:B,"")</f>
        <v>112</v>
      </c>
      <c r="J323" s="5" t="str">
        <f t="shared" si="12"/>
        <v>Responder</v>
      </c>
    </row>
    <row r="324" ht="22.5" customHeight="1">
      <c r="A324" s="3" t="s">
        <v>339</v>
      </c>
      <c r="B324" s="4">
        <v>59.0</v>
      </c>
      <c r="C324" s="3" t="s">
        <v>21</v>
      </c>
      <c r="D324" s="4">
        <v>84.75</v>
      </c>
      <c r="E324" s="4">
        <v>1.77</v>
      </c>
      <c r="F324" s="3" t="s">
        <v>17</v>
      </c>
      <c r="G324" s="3" t="s">
        <v>13</v>
      </c>
      <c r="H324" s="5">
        <f t="shared" si="11"/>
        <v>27.05161352</v>
      </c>
      <c r="I324" s="5">
        <f t="array" ref="I324">XLOOKUP(A324,protein_data!A:A,protein_data!B:B,"")</f>
        <v>124</v>
      </c>
      <c r="J324" s="5" t="str">
        <f t="shared" si="12"/>
        <v>Non-Responder</v>
      </c>
    </row>
    <row r="325" ht="22.5" customHeight="1">
      <c r="A325" s="3" t="s">
        <v>340</v>
      </c>
      <c r="B325" s="4">
        <v>60.0</v>
      </c>
      <c r="C325" s="3" t="s">
        <v>11</v>
      </c>
      <c r="D325" s="4">
        <v>73.74</v>
      </c>
      <c r="E325" s="4">
        <v>1.66</v>
      </c>
      <c r="F325" s="3" t="s">
        <v>12</v>
      </c>
      <c r="G325" s="3" t="s">
        <v>13</v>
      </c>
      <c r="H325" s="5">
        <f t="shared" si="11"/>
        <v>26.76005226</v>
      </c>
      <c r="I325" s="5">
        <f t="array" ref="I325">XLOOKUP(A325,protein_data!A:A,protein_data!B:B,"")</f>
        <v>152</v>
      </c>
      <c r="J325" s="5" t="str">
        <f t="shared" si="12"/>
        <v>Non-Responder</v>
      </c>
    </row>
    <row r="326" ht="22.5" customHeight="1">
      <c r="A326" s="3" t="s">
        <v>341</v>
      </c>
      <c r="B326" s="4">
        <v>63.0</v>
      </c>
      <c r="C326" s="3" t="s">
        <v>11</v>
      </c>
      <c r="D326" s="4">
        <v>90.45</v>
      </c>
      <c r="E326" s="4">
        <v>1.59</v>
      </c>
      <c r="F326" s="3" t="s">
        <v>17</v>
      </c>
      <c r="G326" s="3" t="s">
        <v>13</v>
      </c>
      <c r="H326" s="5">
        <f t="shared" si="11"/>
        <v>35.77785689</v>
      </c>
      <c r="I326" s="5">
        <f t="array" ref="I326">XLOOKUP(A326,protein_data!A:A,protein_data!B:B,"")</f>
        <v>112</v>
      </c>
      <c r="J326" s="5" t="str">
        <f t="shared" si="12"/>
        <v>Non-Responder</v>
      </c>
    </row>
    <row r="327" ht="22.5" customHeight="1">
      <c r="A327" s="3" t="s">
        <v>342</v>
      </c>
      <c r="B327" s="4">
        <v>65.0</v>
      </c>
      <c r="C327" s="3" t="s">
        <v>11</v>
      </c>
      <c r="D327" s="4">
        <v>67.0</v>
      </c>
      <c r="E327" s="4">
        <v>1.62</v>
      </c>
      <c r="F327" s="3" t="s">
        <v>12</v>
      </c>
      <c r="G327" s="3" t="s">
        <v>13</v>
      </c>
      <c r="H327" s="5">
        <f t="shared" si="11"/>
        <v>25.52964487</v>
      </c>
      <c r="I327" s="5">
        <f t="array" ref="I327">XLOOKUP(A327,protein_data!A:A,protein_data!B:B,"")</f>
        <v>157</v>
      </c>
      <c r="J327" s="5" t="str">
        <f t="shared" si="12"/>
        <v>Non-Responder</v>
      </c>
    </row>
    <row r="328" ht="22.5" customHeight="1">
      <c r="A328" s="3" t="s">
        <v>343</v>
      </c>
      <c r="B328" s="4">
        <v>66.0</v>
      </c>
      <c r="C328" s="3" t="s">
        <v>21</v>
      </c>
      <c r="D328" s="4">
        <v>111.49</v>
      </c>
      <c r="E328" s="4">
        <v>1.79</v>
      </c>
      <c r="F328" s="3" t="s">
        <v>17</v>
      </c>
      <c r="G328" s="3" t="s">
        <v>13</v>
      </c>
      <c r="H328" s="5">
        <f t="shared" si="11"/>
        <v>34.79604257</v>
      </c>
      <c r="I328" s="5">
        <f t="array" ref="I328">XLOOKUP(A328,protein_data!A:A,protein_data!B:B,"")</f>
        <v>122</v>
      </c>
      <c r="J328" s="5" t="str">
        <f t="shared" si="12"/>
        <v>Non-Responder</v>
      </c>
    </row>
    <row r="329" ht="22.5" customHeight="1">
      <c r="A329" s="3" t="s">
        <v>344</v>
      </c>
      <c r="B329" s="4">
        <v>64.0</v>
      </c>
      <c r="C329" s="3" t="s">
        <v>21</v>
      </c>
      <c r="D329" s="4">
        <v>113.49</v>
      </c>
      <c r="E329" s="4">
        <v>1.81</v>
      </c>
      <c r="F329" s="3" t="s">
        <v>17</v>
      </c>
      <c r="G329" s="3" t="s">
        <v>13</v>
      </c>
      <c r="H329" s="5">
        <f t="shared" si="11"/>
        <v>34.6417997</v>
      </c>
      <c r="I329" s="5">
        <f t="array" ref="I329">XLOOKUP(A329,protein_data!A:A,protein_data!B:B,"")</f>
        <v>179</v>
      </c>
      <c r="J329" s="5" t="str">
        <f t="shared" si="12"/>
        <v>Non-Responder</v>
      </c>
    </row>
    <row r="330" ht="22.5" customHeight="1">
      <c r="A330" s="3" t="s">
        <v>345</v>
      </c>
      <c r="B330" s="4">
        <v>56.0</v>
      </c>
      <c r="C330" s="3" t="s">
        <v>21</v>
      </c>
      <c r="D330" s="4">
        <v>138.36</v>
      </c>
      <c r="E330" s="4">
        <v>1.75</v>
      </c>
      <c r="F330" s="3" t="s">
        <v>12</v>
      </c>
      <c r="G330" s="3" t="s">
        <v>15</v>
      </c>
      <c r="H330" s="5">
        <f t="shared" si="11"/>
        <v>45.17877551</v>
      </c>
      <c r="I330" s="5">
        <f t="array" ref="I330">XLOOKUP(A330,protein_data!A:A,protein_data!B:B,"")</f>
        <v>102</v>
      </c>
      <c r="J330" s="5" t="str">
        <f t="shared" si="12"/>
        <v>Responder</v>
      </c>
    </row>
    <row r="331" ht="22.5" customHeight="1">
      <c r="A331" s="3" t="s">
        <v>346</v>
      </c>
      <c r="B331" s="4">
        <v>58.0</v>
      </c>
      <c r="C331" s="3" t="s">
        <v>11</v>
      </c>
      <c r="D331" s="4">
        <v>74.86</v>
      </c>
      <c r="E331" s="4">
        <v>1.56</v>
      </c>
      <c r="F331" s="3" t="s">
        <v>17</v>
      </c>
      <c r="G331" s="3" t="s">
        <v>15</v>
      </c>
      <c r="H331" s="5">
        <f t="shared" si="11"/>
        <v>30.76101249</v>
      </c>
      <c r="I331" s="5">
        <f t="array" ref="I331">XLOOKUP(A331,protein_data!A:A,protein_data!B:B,"")</f>
        <v>105</v>
      </c>
      <c r="J331" s="5" t="str">
        <f t="shared" si="12"/>
        <v>Responder</v>
      </c>
    </row>
    <row r="332" ht="22.5" customHeight="1">
      <c r="A332" s="3" t="s">
        <v>347</v>
      </c>
      <c r="B332" s="4">
        <v>70.0</v>
      </c>
      <c r="C332" s="3" t="s">
        <v>11</v>
      </c>
      <c r="D332" s="4">
        <v>58.69</v>
      </c>
      <c r="E332" s="4">
        <v>1.59</v>
      </c>
      <c r="F332" s="3" t="s">
        <v>17</v>
      </c>
      <c r="G332" s="3" t="s">
        <v>13</v>
      </c>
      <c r="H332" s="5">
        <f t="shared" si="11"/>
        <v>23.2150627</v>
      </c>
      <c r="I332" s="5">
        <f t="array" ref="I332">XLOOKUP(A332,protein_data!A:A,protein_data!B:B,"")</f>
        <v>118</v>
      </c>
      <c r="J332" s="5" t="str">
        <f t="shared" si="12"/>
        <v>Non-Responder</v>
      </c>
    </row>
    <row r="333" ht="22.5" customHeight="1">
      <c r="A333" s="3" t="s">
        <v>348</v>
      </c>
      <c r="B333" s="4">
        <v>71.0</v>
      </c>
      <c r="C333" s="3" t="s">
        <v>21</v>
      </c>
      <c r="D333" s="4">
        <v>98.11</v>
      </c>
      <c r="E333" s="4">
        <v>1.74</v>
      </c>
      <c r="F333" s="3" t="s">
        <v>12</v>
      </c>
      <c r="G333" s="3" t="s">
        <v>15</v>
      </c>
      <c r="H333" s="5">
        <f t="shared" si="11"/>
        <v>32.40520544</v>
      </c>
      <c r="I333" s="5">
        <f t="array" ref="I333">XLOOKUP(A333,protein_data!A:A,protein_data!B:B,"")</f>
        <v>87</v>
      </c>
      <c r="J333" s="5" t="str">
        <f t="shared" si="12"/>
        <v>Responder</v>
      </c>
    </row>
    <row r="334" ht="22.5" customHeight="1">
      <c r="A334" s="3" t="s">
        <v>349</v>
      </c>
      <c r="B334" s="4">
        <v>70.0</v>
      </c>
      <c r="C334" s="3" t="s">
        <v>11</v>
      </c>
      <c r="D334" s="4">
        <v>125.56</v>
      </c>
      <c r="E334" s="4">
        <v>1.7</v>
      </c>
      <c r="F334" s="3" t="s">
        <v>17</v>
      </c>
      <c r="G334" s="3" t="s">
        <v>13</v>
      </c>
      <c r="H334" s="5">
        <f t="shared" si="11"/>
        <v>43.44636678</v>
      </c>
      <c r="I334" s="5">
        <f t="array" ref="I334">XLOOKUP(A334,protein_data!A:A,protein_data!B:B,"")</f>
        <v>180</v>
      </c>
      <c r="J334" s="5" t="str">
        <f t="shared" si="12"/>
        <v>Non-Responder</v>
      </c>
    </row>
    <row r="335" ht="22.5" customHeight="1">
      <c r="A335" s="3" t="s">
        <v>350</v>
      </c>
      <c r="B335" s="4">
        <v>75.0</v>
      </c>
      <c r="C335" s="3" t="s">
        <v>11</v>
      </c>
      <c r="D335" s="4">
        <v>64.92</v>
      </c>
      <c r="E335" s="4">
        <v>1.66</v>
      </c>
      <c r="F335" s="3" t="s">
        <v>12</v>
      </c>
      <c r="G335" s="3" t="s">
        <v>15</v>
      </c>
      <c r="H335" s="5">
        <f t="shared" si="11"/>
        <v>23.55929743</v>
      </c>
      <c r="I335" s="5">
        <f t="array" ref="I335">XLOOKUP(A335,protein_data!A:A,protein_data!B:B,"")</f>
        <v>106</v>
      </c>
      <c r="J335" s="5" t="str">
        <f t="shared" si="12"/>
        <v>Responder</v>
      </c>
    </row>
    <row r="336" ht="22.5" customHeight="1">
      <c r="A336" s="3" t="s">
        <v>351</v>
      </c>
      <c r="B336" s="4">
        <v>43.0</v>
      </c>
      <c r="C336" s="3" t="s">
        <v>21</v>
      </c>
      <c r="D336" s="4">
        <v>76.84</v>
      </c>
      <c r="E336" s="4">
        <v>1.8</v>
      </c>
      <c r="F336" s="3" t="s">
        <v>17</v>
      </c>
      <c r="G336" s="3" t="s">
        <v>15</v>
      </c>
      <c r="H336" s="5">
        <f t="shared" si="11"/>
        <v>23.71604938</v>
      </c>
      <c r="I336" s="5">
        <f t="array" ref="I336">XLOOKUP(A336,protein_data!A:A,protein_data!B:B,"")</f>
        <v>95</v>
      </c>
      <c r="J336" s="5" t="str">
        <f t="shared" si="12"/>
        <v>Responder</v>
      </c>
    </row>
    <row r="337" ht="22.5" customHeight="1">
      <c r="A337" s="3" t="s">
        <v>352</v>
      </c>
      <c r="B337" s="4">
        <v>62.0</v>
      </c>
      <c r="C337" s="3" t="s">
        <v>11</v>
      </c>
      <c r="D337" s="4">
        <v>125.92</v>
      </c>
      <c r="E337" s="4">
        <v>1.62</v>
      </c>
      <c r="F337" s="3" t="s">
        <v>12</v>
      </c>
      <c r="G337" s="3" t="s">
        <v>13</v>
      </c>
      <c r="H337" s="5">
        <f t="shared" si="11"/>
        <v>47.98049078</v>
      </c>
      <c r="I337" s="5">
        <f t="array" ref="I337">XLOOKUP(A337,protein_data!A:A,protein_data!B:B,"")</f>
        <v>165</v>
      </c>
      <c r="J337" s="5" t="str">
        <f t="shared" si="12"/>
        <v>Non-Responder</v>
      </c>
    </row>
    <row r="338" ht="22.5" customHeight="1">
      <c r="A338" s="3" t="s">
        <v>353</v>
      </c>
      <c r="B338" s="4">
        <v>69.0</v>
      </c>
      <c r="C338" s="3" t="s">
        <v>21</v>
      </c>
      <c r="D338" s="4">
        <v>98.55</v>
      </c>
      <c r="E338" s="4">
        <v>1.71</v>
      </c>
      <c r="F338" s="3" t="s">
        <v>12</v>
      </c>
      <c r="G338" s="3" t="s">
        <v>15</v>
      </c>
      <c r="H338" s="5">
        <f t="shared" si="11"/>
        <v>33.70267775</v>
      </c>
      <c r="I338" s="5">
        <f t="array" ref="I338">XLOOKUP(A338,protein_data!A:A,protein_data!B:B,"")</f>
        <v>117</v>
      </c>
      <c r="J338" s="5" t="str">
        <f t="shared" si="12"/>
        <v>Responder</v>
      </c>
    </row>
    <row r="339" ht="22.5" customHeight="1">
      <c r="A339" s="3" t="s">
        <v>354</v>
      </c>
      <c r="B339" s="4">
        <v>67.0</v>
      </c>
      <c r="C339" s="3" t="s">
        <v>11</v>
      </c>
      <c r="D339" s="4">
        <v>87.48</v>
      </c>
      <c r="E339" s="4">
        <v>1.67</v>
      </c>
      <c r="F339" s="3" t="s">
        <v>17</v>
      </c>
      <c r="G339" s="3" t="s">
        <v>15</v>
      </c>
      <c r="H339" s="5">
        <f t="shared" si="11"/>
        <v>31.36720571</v>
      </c>
      <c r="I339" s="5">
        <f t="array" ref="I339">XLOOKUP(A339,protein_data!A:A,protein_data!B:B,"")</f>
        <v>115</v>
      </c>
      <c r="J339" s="5" t="str">
        <f t="shared" si="12"/>
        <v>Responder</v>
      </c>
    </row>
    <row r="340" ht="22.5" customHeight="1">
      <c r="A340" s="3" t="s">
        <v>355</v>
      </c>
      <c r="B340" s="4">
        <v>69.0</v>
      </c>
      <c r="C340" s="3" t="s">
        <v>21</v>
      </c>
      <c r="D340" s="4">
        <v>113.05</v>
      </c>
      <c r="E340" s="4">
        <v>1.83</v>
      </c>
      <c r="F340" s="3" t="s">
        <v>17</v>
      </c>
      <c r="G340" s="3" t="s">
        <v>13</v>
      </c>
      <c r="H340" s="5">
        <f t="shared" si="11"/>
        <v>33.75735316</v>
      </c>
      <c r="I340" s="5">
        <f t="array" ref="I340">XLOOKUP(A340,protein_data!A:A,protein_data!B:B,"")</f>
        <v>152</v>
      </c>
      <c r="J340" s="5" t="str">
        <f t="shared" si="12"/>
        <v>Non-Responder</v>
      </c>
    </row>
    <row r="341" ht="22.5" customHeight="1">
      <c r="A341" s="3" t="s">
        <v>356</v>
      </c>
      <c r="B341" s="4">
        <v>60.0</v>
      </c>
      <c r="C341" s="3" t="s">
        <v>11</v>
      </c>
      <c r="D341" s="4">
        <v>117.28</v>
      </c>
      <c r="E341" s="4">
        <v>1.71</v>
      </c>
      <c r="F341" s="3" t="s">
        <v>17</v>
      </c>
      <c r="G341" s="3" t="s">
        <v>13</v>
      </c>
      <c r="H341" s="5">
        <f t="shared" si="11"/>
        <v>40.10806744</v>
      </c>
      <c r="I341" s="5">
        <f t="array" ref="I341">XLOOKUP(A341,protein_data!A:A,protein_data!B:B,"")</f>
        <v>178</v>
      </c>
      <c r="J341" s="5" t="str">
        <f t="shared" si="12"/>
        <v>Non-Responder</v>
      </c>
    </row>
    <row r="342" ht="22.5" customHeight="1">
      <c r="A342" s="3" t="s">
        <v>357</v>
      </c>
      <c r="B342" s="4">
        <v>68.0</v>
      </c>
      <c r="C342" s="3" t="s">
        <v>11</v>
      </c>
      <c r="D342" s="4">
        <v>67.82</v>
      </c>
      <c r="E342" s="4">
        <v>1.62</v>
      </c>
      <c r="F342" s="3" t="s">
        <v>12</v>
      </c>
      <c r="G342" s="3" t="s">
        <v>13</v>
      </c>
      <c r="H342" s="5">
        <f t="shared" si="11"/>
        <v>25.84209724</v>
      </c>
      <c r="I342" s="5">
        <f t="array" ref="I342">XLOOKUP(A342,protein_data!A:A,protein_data!B:B,"")</f>
        <v>130</v>
      </c>
      <c r="J342" s="5" t="str">
        <f t="shared" si="12"/>
        <v>Non-Responder</v>
      </c>
    </row>
    <row r="343" ht="22.5" customHeight="1">
      <c r="A343" s="3" t="s">
        <v>358</v>
      </c>
      <c r="B343" s="4">
        <v>52.0</v>
      </c>
      <c r="C343" s="3" t="s">
        <v>21</v>
      </c>
      <c r="D343" s="4">
        <v>78.44</v>
      </c>
      <c r="E343" s="4">
        <v>1.75</v>
      </c>
      <c r="F343" s="3" t="s">
        <v>12</v>
      </c>
      <c r="G343" s="3" t="s">
        <v>15</v>
      </c>
      <c r="H343" s="5">
        <f t="shared" si="11"/>
        <v>25.61306122</v>
      </c>
      <c r="I343" s="5">
        <f t="array" ref="I343">XLOOKUP(A343,protein_data!A:A,protein_data!B:B,"")</f>
        <v>95</v>
      </c>
      <c r="J343" s="5" t="str">
        <f t="shared" si="12"/>
        <v>Responder</v>
      </c>
    </row>
    <row r="344" ht="22.5" customHeight="1">
      <c r="A344" s="3" t="s">
        <v>359</v>
      </c>
      <c r="B344" s="4">
        <v>70.0</v>
      </c>
      <c r="C344" s="3" t="s">
        <v>21</v>
      </c>
      <c r="D344" s="4">
        <v>92.01</v>
      </c>
      <c r="E344" s="4">
        <v>1.7</v>
      </c>
      <c r="F344" s="3" t="s">
        <v>12</v>
      </c>
      <c r="G344" s="3" t="s">
        <v>13</v>
      </c>
      <c r="H344" s="5">
        <f t="shared" si="11"/>
        <v>31.83737024</v>
      </c>
      <c r="I344" s="5" t="str">
        <f t="array" ref="I344">XLOOKUP(A344,protein_data!A:A,protein_data!B:B,"")</f>
        <v>NA</v>
      </c>
      <c r="J344" s="5" t="str">
        <f t="shared" si="12"/>
        <v>Non-Responder</v>
      </c>
    </row>
    <row r="345" ht="22.5" customHeight="1">
      <c r="A345" s="3" t="s">
        <v>360</v>
      </c>
      <c r="B345" s="4">
        <v>52.0</v>
      </c>
      <c r="C345" s="3" t="s">
        <v>11</v>
      </c>
      <c r="D345" s="4">
        <v>83.38</v>
      </c>
      <c r="E345" s="4">
        <v>1.55</v>
      </c>
      <c r="F345" s="3" t="s">
        <v>17</v>
      </c>
      <c r="G345" s="3" t="s">
        <v>15</v>
      </c>
      <c r="H345" s="5">
        <f t="shared" si="11"/>
        <v>34.70551509</v>
      </c>
      <c r="I345" s="5">
        <f t="array" ref="I345">XLOOKUP(A345,protein_data!A:A,protein_data!B:B,"")</f>
        <v>122</v>
      </c>
      <c r="J345" s="5" t="str">
        <f t="shared" si="12"/>
        <v>Responder</v>
      </c>
    </row>
    <row r="346" ht="22.5" customHeight="1">
      <c r="A346" s="3" t="s">
        <v>361</v>
      </c>
      <c r="B346" s="4">
        <v>66.0</v>
      </c>
      <c r="C346" s="3" t="s">
        <v>11</v>
      </c>
      <c r="D346" s="4">
        <v>103.74</v>
      </c>
      <c r="E346" s="4">
        <v>1.68</v>
      </c>
      <c r="F346" s="3" t="s">
        <v>17</v>
      </c>
      <c r="G346" s="3" t="s">
        <v>15</v>
      </c>
      <c r="H346" s="5">
        <f t="shared" si="11"/>
        <v>36.75595238</v>
      </c>
      <c r="I346" s="5">
        <f t="array" ref="I346">XLOOKUP(A346,protein_data!A:A,protein_data!B:B,"")</f>
        <v>95</v>
      </c>
      <c r="J346" s="5" t="str">
        <f t="shared" si="12"/>
        <v>Responder</v>
      </c>
    </row>
    <row r="347" ht="22.5" customHeight="1">
      <c r="A347" s="3" t="s">
        <v>362</v>
      </c>
      <c r="B347" s="4">
        <v>59.0</v>
      </c>
      <c r="C347" s="3" t="s">
        <v>21</v>
      </c>
      <c r="D347" s="4">
        <v>120.55</v>
      </c>
      <c r="E347" s="4">
        <v>1.78</v>
      </c>
      <c r="F347" s="3" t="s">
        <v>17</v>
      </c>
      <c r="G347" s="3" t="s">
        <v>15</v>
      </c>
      <c r="H347" s="5">
        <f t="shared" si="11"/>
        <v>38.047595</v>
      </c>
      <c r="I347" s="5">
        <f t="array" ref="I347">XLOOKUP(A347,protein_data!A:A,protein_data!B:B,"")</f>
        <v>126</v>
      </c>
      <c r="J347" s="5" t="str">
        <f t="shared" si="12"/>
        <v>Responder</v>
      </c>
    </row>
    <row r="348" ht="22.5" customHeight="1">
      <c r="A348" s="3" t="s">
        <v>363</v>
      </c>
      <c r="B348" s="4">
        <v>67.0</v>
      </c>
      <c r="C348" s="3" t="s">
        <v>11</v>
      </c>
      <c r="D348" s="4">
        <v>73.29</v>
      </c>
      <c r="E348" s="4">
        <v>1.6</v>
      </c>
      <c r="F348" s="3" t="s">
        <v>17</v>
      </c>
      <c r="G348" s="3" t="s">
        <v>13</v>
      </c>
      <c r="H348" s="5">
        <f t="shared" si="11"/>
        <v>28.62890625</v>
      </c>
      <c r="I348" s="5">
        <f t="array" ref="I348">XLOOKUP(A348,protein_data!A:A,protein_data!B:B,"")</f>
        <v>139</v>
      </c>
      <c r="J348" s="5" t="str">
        <f t="shared" si="12"/>
        <v>Non-Responder</v>
      </c>
    </row>
    <row r="349" ht="22.5" customHeight="1">
      <c r="A349" s="3" t="s">
        <v>364</v>
      </c>
      <c r="B349" s="4">
        <v>55.0</v>
      </c>
      <c r="C349" s="3" t="s">
        <v>11</v>
      </c>
      <c r="D349" s="4">
        <v>61.22</v>
      </c>
      <c r="E349" s="4">
        <v>1.61</v>
      </c>
      <c r="F349" s="3" t="s">
        <v>17</v>
      </c>
      <c r="G349" s="3" t="s">
        <v>13</v>
      </c>
      <c r="H349" s="5">
        <f t="shared" si="11"/>
        <v>23.61791598</v>
      </c>
      <c r="I349" s="5">
        <f t="array" ref="I349">XLOOKUP(A349,protein_data!A:A,protein_data!B:B,"")</f>
        <v>116</v>
      </c>
      <c r="J349" s="5" t="str">
        <f t="shared" si="12"/>
        <v>Non-Responder</v>
      </c>
    </row>
    <row r="350" ht="22.5" customHeight="1">
      <c r="A350" s="3" t="s">
        <v>365</v>
      </c>
      <c r="B350" s="4">
        <v>47.0</v>
      </c>
      <c r="C350" s="3" t="s">
        <v>11</v>
      </c>
      <c r="D350" s="4">
        <v>60.04</v>
      </c>
      <c r="E350" s="4">
        <v>1.66</v>
      </c>
      <c r="F350" s="3" t="s">
        <v>12</v>
      </c>
      <c r="G350" s="3" t="s">
        <v>13</v>
      </c>
      <c r="H350" s="5">
        <f t="shared" si="11"/>
        <v>21.78835825</v>
      </c>
      <c r="I350" s="5">
        <f t="array" ref="I350">XLOOKUP(A350,protein_data!A:A,protein_data!B:B,"")</f>
        <v>99</v>
      </c>
      <c r="J350" s="5" t="str">
        <f t="shared" si="12"/>
        <v>Non-Responder</v>
      </c>
    </row>
    <row r="351" ht="22.5" customHeight="1">
      <c r="A351" s="3" t="s">
        <v>366</v>
      </c>
      <c r="B351" s="4">
        <v>51.0</v>
      </c>
      <c r="C351" s="3" t="s">
        <v>21</v>
      </c>
      <c r="D351" s="4">
        <v>118.81</v>
      </c>
      <c r="E351" s="4">
        <v>1.71</v>
      </c>
      <c r="F351" s="3" t="s">
        <v>12</v>
      </c>
      <c r="G351" s="3" t="s">
        <v>15</v>
      </c>
      <c r="H351" s="5">
        <f t="shared" si="11"/>
        <v>40.63130536</v>
      </c>
      <c r="I351" s="5" t="str">
        <f t="array" ref="I351">XLOOKUP(A351,protein_data!A:A,protein_data!B:B,"")</f>
        <v>NA</v>
      </c>
      <c r="J351" s="5" t="str">
        <f t="shared" si="12"/>
        <v>Responder</v>
      </c>
    </row>
    <row r="352" ht="22.5" customHeight="1">
      <c r="A352" s="3" t="s">
        <v>367</v>
      </c>
      <c r="B352" s="4">
        <v>72.0</v>
      </c>
      <c r="C352" s="3" t="s">
        <v>11</v>
      </c>
      <c r="D352" s="4">
        <v>102.21</v>
      </c>
      <c r="E352" s="4">
        <v>1.56</v>
      </c>
      <c r="F352" s="3" t="s">
        <v>12</v>
      </c>
      <c r="G352" s="3" t="s">
        <v>15</v>
      </c>
      <c r="H352" s="5">
        <f t="shared" si="11"/>
        <v>41.9995069</v>
      </c>
      <c r="I352" s="5">
        <f t="array" ref="I352">XLOOKUP(A352,protein_data!A:A,protein_data!B:B,"")</f>
        <v>92</v>
      </c>
      <c r="J352" s="5" t="str">
        <f t="shared" si="12"/>
        <v>Responder</v>
      </c>
    </row>
    <row r="353" ht="22.5" customHeight="1">
      <c r="A353" s="3" t="s">
        <v>368</v>
      </c>
      <c r="B353" s="4">
        <v>67.0</v>
      </c>
      <c r="C353" s="3" t="s">
        <v>11</v>
      </c>
      <c r="D353" s="4">
        <v>81.43</v>
      </c>
      <c r="E353" s="4">
        <v>1.62</v>
      </c>
      <c r="F353" s="3" t="s">
        <v>17</v>
      </c>
      <c r="G353" s="3" t="s">
        <v>13</v>
      </c>
      <c r="H353" s="5">
        <f t="shared" si="11"/>
        <v>31.02804451</v>
      </c>
      <c r="I353" s="5">
        <f t="array" ref="I353">XLOOKUP(A353,protein_data!A:A,protein_data!B:B,"")</f>
        <v>137</v>
      </c>
      <c r="J353" s="5" t="str">
        <f t="shared" si="12"/>
        <v>Non-Responder</v>
      </c>
    </row>
    <row r="354" ht="22.5" customHeight="1">
      <c r="A354" s="3" t="s">
        <v>369</v>
      </c>
      <c r="B354" s="4">
        <v>57.0</v>
      </c>
      <c r="C354" s="3" t="s">
        <v>21</v>
      </c>
      <c r="D354" s="4">
        <v>104.34</v>
      </c>
      <c r="E354" s="4">
        <v>1.75</v>
      </c>
      <c r="F354" s="3" t="s">
        <v>17</v>
      </c>
      <c r="G354" s="3" t="s">
        <v>15</v>
      </c>
      <c r="H354" s="5">
        <f t="shared" si="11"/>
        <v>34.07020408</v>
      </c>
      <c r="I354" s="5">
        <f t="array" ref="I354">XLOOKUP(A354,protein_data!A:A,protein_data!B:B,"")</f>
        <v>61</v>
      </c>
      <c r="J354" s="5" t="str">
        <f t="shared" si="12"/>
        <v>Responder</v>
      </c>
    </row>
    <row r="355" ht="22.5" customHeight="1">
      <c r="A355" s="3" t="s">
        <v>370</v>
      </c>
      <c r="B355" s="4">
        <v>69.0</v>
      </c>
      <c r="C355" s="3" t="s">
        <v>21</v>
      </c>
      <c r="D355" s="4">
        <v>82.58</v>
      </c>
      <c r="E355" s="4">
        <v>1.75</v>
      </c>
      <c r="F355" s="3" t="s">
        <v>12</v>
      </c>
      <c r="G355" s="3" t="s">
        <v>15</v>
      </c>
      <c r="H355" s="5">
        <f t="shared" si="11"/>
        <v>26.96489796</v>
      </c>
      <c r="I355" s="5">
        <f t="array" ref="I355">XLOOKUP(A355,protein_data!A:A,protein_data!B:B,"")</f>
        <v>90</v>
      </c>
      <c r="J355" s="5" t="str">
        <f t="shared" si="12"/>
        <v>Responder</v>
      </c>
    </row>
    <row r="356" ht="22.5" customHeight="1">
      <c r="A356" s="3" t="s">
        <v>371</v>
      </c>
      <c r="B356" s="4">
        <v>70.0</v>
      </c>
      <c r="C356" s="3" t="s">
        <v>21</v>
      </c>
      <c r="D356" s="4">
        <v>136.68</v>
      </c>
      <c r="E356" s="4">
        <v>1.8</v>
      </c>
      <c r="F356" s="3" t="s">
        <v>17</v>
      </c>
      <c r="G356" s="3" t="s">
        <v>15</v>
      </c>
      <c r="H356" s="5">
        <f t="shared" si="11"/>
        <v>42.18518519</v>
      </c>
      <c r="I356" s="5">
        <f t="array" ref="I356">XLOOKUP(A356,protein_data!A:A,protein_data!B:B,"")</f>
        <v>90</v>
      </c>
      <c r="J356" s="5" t="str">
        <f t="shared" si="12"/>
        <v>Responder</v>
      </c>
    </row>
    <row r="357" ht="22.5" customHeight="1">
      <c r="A357" s="3" t="s">
        <v>372</v>
      </c>
      <c r="B357" s="4">
        <v>67.0</v>
      </c>
      <c r="C357" s="3" t="s">
        <v>11</v>
      </c>
      <c r="D357" s="4">
        <v>80.62</v>
      </c>
      <c r="E357" s="4">
        <v>1.63</v>
      </c>
      <c r="F357" s="3" t="s">
        <v>17</v>
      </c>
      <c r="G357" s="3" t="s">
        <v>13</v>
      </c>
      <c r="H357" s="5">
        <f t="shared" si="11"/>
        <v>30.34363356</v>
      </c>
      <c r="I357" s="5">
        <f t="array" ref="I357">XLOOKUP(A357,protein_data!A:A,protein_data!B:B,"")</f>
        <v>165</v>
      </c>
      <c r="J357" s="5" t="str">
        <f t="shared" si="12"/>
        <v>Non-Responder</v>
      </c>
    </row>
    <row r="358" ht="22.5" customHeight="1">
      <c r="A358" s="3" t="s">
        <v>373</v>
      </c>
      <c r="B358" s="4">
        <v>53.0</v>
      </c>
      <c r="C358" s="3" t="s">
        <v>11</v>
      </c>
      <c r="D358" s="4">
        <v>76.36</v>
      </c>
      <c r="E358" s="4">
        <v>1.51</v>
      </c>
      <c r="F358" s="3" t="s">
        <v>17</v>
      </c>
      <c r="G358" s="3" t="s">
        <v>13</v>
      </c>
      <c r="H358" s="5">
        <f t="shared" si="11"/>
        <v>33.48975922</v>
      </c>
      <c r="I358" s="5">
        <f t="array" ref="I358">XLOOKUP(A358,protein_data!A:A,protein_data!B:B,"")</f>
        <v>125</v>
      </c>
      <c r="J358" s="5" t="str">
        <f t="shared" si="12"/>
        <v>Non-Responder</v>
      </c>
    </row>
    <row r="359" ht="22.5" customHeight="1">
      <c r="A359" s="3" t="s">
        <v>374</v>
      </c>
      <c r="B359" s="4">
        <v>62.0</v>
      </c>
      <c r="C359" s="3" t="s">
        <v>21</v>
      </c>
      <c r="D359" s="4">
        <v>133.29</v>
      </c>
      <c r="E359" s="4">
        <v>1.84</v>
      </c>
      <c r="F359" s="3" t="s">
        <v>17</v>
      </c>
      <c r="G359" s="3" t="s">
        <v>15</v>
      </c>
      <c r="H359" s="5">
        <f t="shared" si="11"/>
        <v>39.36968336</v>
      </c>
      <c r="I359" s="5">
        <f t="array" ref="I359">XLOOKUP(A359,protein_data!A:A,protein_data!B:B,"")</f>
        <v>129</v>
      </c>
      <c r="J359" s="5" t="str">
        <f t="shared" si="12"/>
        <v>Responder</v>
      </c>
    </row>
    <row r="360" ht="22.5" customHeight="1">
      <c r="A360" s="3" t="s">
        <v>375</v>
      </c>
      <c r="B360" s="4">
        <v>63.0</v>
      </c>
      <c r="C360" s="3" t="s">
        <v>11</v>
      </c>
      <c r="D360" s="4">
        <v>83.86</v>
      </c>
      <c r="E360" s="4">
        <v>1.54</v>
      </c>
      <c r="F360" s="3" t="s">
        <v>12</v>
      </c>
      <c r="G360" s="3" t="s">
        <v>15</v>
      </c>
      <c r="H360" s="5">
        <f t="shared" si="11"/>
        <v>35.36009445</v>
      </c>
      <c r="I360" s="5">
        <f t="array" ref="I360">XLOOKUP(A360,protein_data!A:A,protein_data!B:B,"")</f>
        <v>88</v>
      </c>
      <c r="J360" s="5" t="str">
        <f t="shared" si="12"/>
        <v>Responder</v>
      </c>
    </row>
    <row r="361" ht="22.5" customHeight="1">
      <c r="A361" s="3" t="s">
        <v>376</v>
      </c>
      <c r="B361" s="4">
        <v>72.0</v>
      </c>
      <c r="C361" s="3" t="s">
        <v>21</v>
      </c>
      <c r="D361" s="4">
        <v>96.39</v>
      </c>
      <c r="E361" s="4">
        <v>1.63</v>
      </c>
      <c r="F361" s="3" t="s">
        <v>12</v>
      </c>
      <c r="G361" s="3" t="s">
        <v>13</v>
      </c>
      <c r="H361" s="5">
        <f t="shared" si="11"/>
        <v>36.27912229</v>
      </c>
      <c r="I361" s="5">
        <f t="array" ref="I361">XLOOKUP(A361,protein_data!A:A,protein_data!B:B,"")</f>
        <v>196</v>
      </c>
      <c r="J361" s="5" t="str">
        <f t="shared" si="12"/>
        <v>Non-Responder</v>
      </c>
    </row>
    <row r="362" ht="22.5" customHeight="1">
      <c r="A362" s="3" t="s">
        <v>377</v>
      </c>
      <c r="B362" s="4">
        <v>63.0</v>
      </c>
      <c r="C362" s="3" t="s">
        <v>21</v>
      </c>
      <c r="D362" s="4">
        <v>97.23</v>
      </c>
      <c r="E362" s="4">
        <v>1.77</v>
      </c>
      <c r="F362" s="3" t="s">
        <v>12</v>
      </c>
      <c r="G362" s="3" t="s">
        <v>13</v>
      </c>
      <c r="H362" s="5">
        <f t="shared" si="11"/>
        <v>31.03514316</v>
      </c>
      <c r="I362" s="5">
        <f t="array" ref="I362">XLOOKUP(A362,protein_data!A:A,protein_data!B:B,"")</f>
        <v>189</v>
      </c>
      <c r="J362" s="5" t="str">
        <f t="shared" si="12"/>
        <v>Non-Responder</v>
      </c>
    </row>
    <row r="363" ht="22.5" customHeight="1">
      <c r="A363" s="3" t="s">
        <v>378</v>
      </c>
      <c r="B363" s="4">
        <v>55.0</v>
      </c>
      <c r="C363" s="3" t="s">
        <v>21</v>
      </c>
      <c r="D363" s="4">
        <v>86.02</v>
      </c>
      <c r="E363" s="4">
        <v>1.71</v>
      </c>
      <c r="F363" s="3" t="s">
        <v>17</v>
      </c>
      <c r="G363" s="3" t="s">
        <v>13</v>
      </c>
      <c r="H363" s="5">
        <f t="shared" si="11"/>
        <v>29.41759858</v>
      </c>
      <c r="I363" s="5">
        <f t="array" ref="I363">XLOOKUP(A363,protein_data!A:A,protein_data!B:B,"")</f>
        <v>158</v>
      </c>
      <c r="J363" s="5" t="str">
        <f t="shared" si="12"/>
        <v>Non-Responder</v>
      </c>
    </row>
    <row r="364" ht="22.5" customHeight="1">
      <c r="A364" s="3" t="s">
        <v>379</v>
      </c>
      <c r="B364" s="4">
        <v>57.0</v>
      </c>
      <c r="C364" s="3" t="s">
        <v>21</v>
      </c>
      <c r="D364" s="4">
        <v>112.5</v>
      </c>
      <c r="E364" s="4">
        <v>1.7</v>
      </c>
      <c r="F364" s="3" t="s">
        <v>12</v>
      </c>
      <c r="G364" s="3" t="s">
        <v>15</v>
      </c>
      <c r="H364" s="5">
        <f t="shared" si="11"/>
        <v>38.92733564</v>
      </c>
      <c r="I364" s="5">
        <f t="array" ref="I364">XLOOKUP(A364,protein_data!A:A,protein_data!B:B,"")</f>
        <v>103</v>
      </c>
      <c r="J364" s="5" t="str">
        <f t="shared" si="12"/>
        <v>Responder</v>
      </c>
    </row>
    <row r="365" ht="22.5" customHeight="1">
      <c r="A365" s="3" t="s">
        <v>380</v>
      </c>
      <c r="B365" s="4">
        <v>68.0</v>
      </c>
      <c r="C365" s="3" t="s">
        <v>11</v>
      </c>
      <c r="D365" s="4">
        <v>112.48</v>
      </c>
      <c r="E365" s="4">
        <v>1.71</v>
      </c>
      <c r="F365" s="3" t="s">
        <v>12</v>
      </c>
      <c r="G365" s="3" t="s">
        <v>15</v>
      </c>
      <c r="H365" s="5">
        <f t="shared" si="11"/>
        <v>38.46653671</v>
      </c>
      <c r="I365" s="5">
        <f t="array" ref="I365">XLOOKUP(A365,protein_data!A:A,protein_data!B:B,"")</f>
        <v>146</v>
      </c>
      <c r="J365" s="5" t="str">
        <f t="shared" si="12"/>
        <v>Responder</v>
      </c>
    </row>
    <row r="366" ht="22.5" customHeight="1">
      <c r="A366" s="3" t="s">
        <v>381</v>
      </c>
      <c r="B366" s="4">
        <v>58.0</v>
      </c>
      <c r="C366" s="3" t="s">
        <v>21</v>
      </c>
      <c r="D366" s="4">
        <v>110.94</v>
      </c>
      <c r="E366" s="4">
        <v>1.79</v>
      </c>
      <c r="F366" s="3" t="s">
        <v>17</v>
      </c>
      <c r="G366" s="3" t="s">
        <v>13</v>
      </c>
      <c r="H366" s="5">
        <f t="shared" si="11"/>
        <v>34.6243875</v>
      </c>
      <c r="I366" s="5">
        <f t="array" ref="I366">XLOOKUP(A366,protein_data!A:A,protein_data!B:B,"")</f>
        <v>147</v>
      </c>
      <c r="J366" s="5" t="str">
        <f t="shared" si="12"/>
        <v>Non-Responder</v>
      </c>
    </row>
    <row r="367" ht="22.5" customHeight="1">
      <c r="A367" s="3" t="s">
        <v>382</v>
      </c>
      <c r="B367" s="4">
        <v>53.0</v>
      </c>
      <c r="C367" s="3" t="s">
        <v>11</v>
      </c>
      <c r="D367" s="4">
        <v>87.38</v>
      </c>
      <c r="E367" s="4">
        <v>1.6</v>
      </c>
      <c r="F367" s="3" t="s">
        <v>17</v>
      </c>
      <c r="G367" s="3" t="s">
        <v>13</v>
      </c>
      <c r="H367" s="5">
        <f t="shared" si="11"/>
        <v>34.1328125</v>
      </c>
      <c r="I367" s="5">
        <f t="array" ref="I367">XLOOKUP(A367,protein_data!A:A,protein_data!B:B,"")</f>
        <v>99</v>
      </c>
      <c r="J367" s="5" t="str">
        <f t="shared" si="12"/>
        <v>Non-Responder</v>
      </c>
    </row>
    <row r="368" ht="22.5" customHeight="1">
      <c r="A368" s="3" t="s">
        <v>383</v>
      </c>
      <c r="B368" s="4">
        <v>60.0</v>
      </c>
      <c r="C368" s="3" t="s">
        <v>21</v>
      </c>
      <c r="D368" s="4">
        <v>92.05</v>
      </c>
      <c r="E368" s="4">
        <v>1.83</v>
      </c>
      <c r="F368" s="3" t="s">
        <v>12</v>
      </c>
      <c r="G368" s="3" t="s">
        <v>13</v>
      </c>
      <c r="H368" s="5">
        <f t="shared" si="11"/>
        <v>27.4866374</v>
      </c>
      <c r="I368" s="5">
        <f t="array" ref="I368">XLOOKUP(A368,protein_data!A:A,protein_data!B:B,"")</f>
        <v>124</v>
      </c>
      <c r="J368" s="5" t="str">
        <f t="shared" si="12"/>
        <v>Non-Responder</v>
      </c>
    </row>
    <row r="369" ht="22.5" customHeight="1">
      <c r="A369" s="3" t="s">
        <v>384</v>
      </c>
      <c r="B369" s="4">
        <v>62.0</v>
      </c>
      <c r="C369" s="3" t="s">
        <v>11</v>
      </c>
      <c r="D369" s="4">
        <v>61.23</v>
      </c>
      <c r="E369" s="4">
        <v>1.71</v>
      </c>
      <c r="F369" s="3" t="s">
        <v>17</v>
      </c>
      <c r="G369" s="3" t="s">
        <v>13</v>
      </c>
      <c r="H369" s="5">
        <f t="shared" si="11"/>
        <v>20.93977634</v>
      </c>
      <c r="I369" s="5">
        <f t="array" ref="I369">XLOOKUP(A369,protein_data!A:A,protein_data!B:B,"")</f>
        <v>101</v>
      </c>
      <c r="J369" s="5" t="str">
        <f t="shared" si="12"/>
        <v>Non-Responder</v>
      </c>
    </row>
    <row r="370" ht="22.5" customHeight="1">
      <c r="A370" s="3" t="s">
        <v>385</v>
      </c>
      <c r="B370" s="4">
        <v>61.0</v>
      </c>
      <c r="C370" s="3" t="s">
        <v>21</v>
      </c>
      <c r="D370" s="4">
        <v>82.86</v>
      </c>
      <c r="E370" s="4">
        <v>1.74</v>
      </c>
      <c r="F370" s="3" t="s">
        <v>17</v>
      </c>
      <c r="G370" s="3" t="s">
        <v>13</v>
      </c>
      <c r="H370" s="5">
        <f t="shared" si="11"/>
        <v>27.36821245</v>
      </c>
      <c r="I370" s="5">
        <f t="array" ref="I370">XLOOKUP(A370,protein_data!A:A,protein_data!B:B,"")</f>
        <v>81</v>
      </c>
      <c r="J370" s="5" t="str">
        <f t="shared" si="12"/>
        <v>Non-Responder</v>
      </c>
    </row>
    <row r="371" ht="22.5" customHeight="1">
      <c r="A371" s="3" t="s">
        <v>386</v>
      </c>
      <c r="B371" s="4">
        <v>64.0</v>
      </c>
      <c r="C371" s="3" t="s">
        <v>11</v>
      </c>
      <c r="D371" s="4">
        <v>89.41</v>
      </c>
      <c r="E371" s="4">
        <v>1.65</v>
      </c>
      <c r="F371" s="3" t="s">
        <v>17</v>
      </c>
      <c r="G371" s="3" t="s">
        <v>15</v>
      </c>
      <c r="H371" s="5">
        <f t="shared" si="11"/>
        <v>32.84113866</v>
      </c>
      <c r="I371" s="5">
        <f t="array" ref="I371">XLOOKUP(A371,protein_data!A:A,protein_data!B:B,"")</f>
        <v>133</v>
      </c>
      <c r="J371" s="5" t="str">
        <f t="shared" si="12"/>
        <v>Responder</v>
      </c>
    </row>
    <row r="372" ht="22.5" customHeight="1">
      <c r="A372" s="3" t="s">
        <v>387</v>
      </c>
      <c r="B372" s="4">
        <v>70.0</v>
      </c>
      <c r="C372" s="3" t="s">
        <v>11</v>
      </c>
      <c r="D372" s="4">
        <v>104.58</v>
      </c>
      <c r="E372" s="4">
        <v>1.65</v>
      </c>
      <c r="F372" s="3" t="s">
        <v>17</v>
      </c>
      <c r="G372" s="3" t="s">
        <v>13</v>
      </c>
      <c r="H372" s="5">
        <f t="shared" si="11"/>
        <v>38.41322314</v>
      </c>
      <c r="I372" s="5">
        <f t="array" ref="I372">XLOOKUP(A372,protein_data!A:A,protein_data!B:B,"")</f>
        <v>173</v>
      </c>
      <c r="J372" s="5" t="str">
        <f t="shared" si="12"/>
        <v>Non-Responder</v>
      </c>
    </row>
    <row r="373" ht="22.5" hidden="1" customHeight="1">
      <c r="A373" s="3" t="s">
        <v>388</v>
      </c>
      <c r="B373" s="4">
        <v>67.0</v>
      </c>
      <c r="C373" s="3" t="s">
        <v>11</v>
      </c>
      <c r="D373" s="3" t="s">
        <v>26</v>
      </c>
      <c r="E373" s="4">
        <v>1.62</v>
      </c>
      <c r="F373" s="3" t="s">
        <v>17</v>
      </c>
      <c r="G373" s="3" t="s">
        <v>13</v>
      </c>
      <c r="H373" s="5"/>
      <c r="I373" s="5"/>
      <c r="J373" s="5"/>
    </row>
    <row r="374" ht="22.5" customHeight="1">
      <c r="A374" s="3" t="s">
        <v>389</v>
      </c>
      <c r="B374" s="4">
        <v>55.0</v>
      </c>
      <c r="C374" s="3" t="s">
        <v>21</v>
      </c>
      <c r="D374" s="4">
        <v>118.09</v>
      </c>
      <c r="E374" s="4">
        <v>1.82</v>
      </c>
      <c r="F374" s="3" t="s">
        <v>12</v>
      </c>
      <c r="G374" s="3" t="s">
        <v>15</v>
      </c>
      <c r="H374" s="5">
        <f t="shared" ref="H374:H427" si="13">(D374)/(E374^2)</f>
        <v>35.65088757</v>
      </c>
      <c r="I374" s="5">
        <f t="array" ref="I374">XLOOKUP(A374,protein_data!A:A,protein_data!B:B,"")</f>
        <v>84</v>
      </c>
      <c r="J374" s="5" t="str">
        <f t="shared" ref="J374:J427" si="14">if(G374="y","Responder","Non-Responder")</f>
        <v>Responder</v>
      </c>
    </row>
    <row r="375" ht="22.5" customHeight="1">
      <c r="A375" s="3" t="s">
        <v>390</v>
      </c>
      <c r="B375" s="4">
        <v>59.0</v>
      </c>
      <c r="C375" s="3" t="s">
        <v>11</v>
      </c>
      <c r="D375" s="4">
        <v>88.1</v>
      </c>
      <c r="E375" s="4">
        <v>1.59</v>
      </c>
      <c r="F375" s="3" t="s">
        <v>12</v>
      </c>
      <c r="G375" s="3" t="s">
        <v>15</v>
      </c>
      <c r="H375" s="5">
        <f t="shared" si="13"/>
        <v>34.84830505</v>
      </c>
      <c r="I375" s="5">
        <f t="array" ref="I375">XLOOKUP(A375,protein_data!A:A,protein_data!B:B,"")</f>
        <v>105</v>
      </c>
      <c r="J375" s="5" t="str">
        <f t="shared" si="14"/>
        <v>Responder</v>
      </c>
    </row>
    <row r="376" ht="22.5" customHeight="1">
      <c r="A376" s="3" t="s">
        <v>391</v>
      </c>
      <c r="B376" s="4">
        <v>61.0</v>
      </c>
      <c r="C376" s="3" t="s">
        <v>21</v>
      </c>
      <c r="D376" s="4">
        <v>107.16</v>
      </c>
      <c r="E376" s="4">
        <v>1.73</v>
      </c>
      <c r="F376" s="3" t="s">
        <v>12</v>
      </c>
      <c r="G376" s="3" t="s">
        <v>15</v>
      </c>
      <c r="H376" s="5">
        <f t="shared" si="13"/>
        <v>35.80473788</v>
      </c>
      <c r="I376" s="5">
        <f t="array" ref="I376">XLOOKUP(A376,protein_data!A:A,protein_data!B:B,"")</f>
        <v>122</v>
      </c>
      <c r="J376" s="5" t="str">
        <f t="shared" si="14"/>
        <v>Responder</v>
      </c>
    </row>
    <row r="377" ht="22.5" customHeight="1">
      <c r="A377" s="3" t="s">
        <v>392</v>
      </c>
      <c r="B377" s="4">
        <v>67.0</v>
      </c>
      <c r="C377" s="3" t="s">
        <v>11</v>
      </c>
      <c r="D377" s="4">
        <v>93.53</v>
      </c>
      <c r="E377" s="4">
        <v>1.54</v>
      </c>
      <c r="F377" s="3" t="s">
        <v>12</v>
      </c>
      <c r="G377" s="3" t="s">
        <v>13</v>
      </c>
      <c r="H377" s="5">
        <f t="shared" si="13"/>
        <v>39.43751054</v>
      </c>
      <c r="I377" s="5">
        <f t="array" ref="I377">XLOOKUP(A377,protein_data!A:A,protein_data!B:B,"")</f>
        <v>140</v>
      </c>
      <c r="J377" s="5" t="str">
        <f t="shared" si="14"/>
        <v>Non-Responder</v>
      </c>
    </row>
    <row r="378" ht="22.5" customHeight="1">
      <c r="A378" s="3" t="s">
        <v>393</v>
      </c>
      <c r="B378" s="4">
        <v>60.0</v>
      </c>
      <c r="C378" s="3" t="s">
        <v>11</v>
      </c>
      <c r="D378" s="4">
        <v>61.9</v>
      </c>
      <c r="E378" s="4">
        <v>1.57</v>
      </c>
      <c r="F378" s="3" t="s">
        <v>17</v>
      </c>
      <c r="G378" s="3" t="s">
        <v>13</v>
      </c>
      <c r="H378" s="5">
        <f t="shared" si="13"/>
        <v>25.11258063</v>
      </c>
      <c r="I378" s="5">
        <f t="array" ref="I378">XLOOKUP(A378,protein_data!A:A,protein_data!B:B,"")</f>
        <v>98</v>
      </c>
      <c r="J378" s="5" t="str">
        <f t="shared" si="14"/>
        <v>Non-Responder</v>
      </c>
    </row>
    <row r="379" ht="22.5" customHeight="1">
      <c r="A379" s="3" t="s">
        <v>394</v>
      </c>
      <c r="B379" s="4">
        <v>61.0</v>
      </c>
      <c r="C379" s="3" t="s">
        <v>11</v>
      </c>
      <c r="D379" s="4">
        <v>91.63</v>
      </c>
      <c r="E379" s="4">
        <v>1.57</v>
      </c>
      <c r="F379" s="3" t="s">
        <v>17</v>
      </c>
      <c r="G379" s="3" t="s">
        <v>15</v>
      </c>
      <c r="H379" s="5">
        <f t="shared" si="13"/>
        <v>37.17392186</v>
      </c>
      <c r="I379" s="5">
        <f t="array" ref="I379">XLOOKUP(A379,protein_data!A:A,protein_data!B:B,"")</f>
        <v>87</v>
      </c>
      <c r="J379" s="5" t="str">
        <f t="shared" si="14"/>
        <v>Responder</v>
      </c>
    </row>
    <row r="380" ht="22.5" customHeight="1">
      <c r="A380" s="3" t="s">
        <v>395</v>
      </c>
      <c r="B380" s="4">
        <v>59.0</v>
      </c>
      <c r="C380" s="3" t="s">
        <v>21</v>
      </c>
      <c r="D380" s="4">
        <v>158.85</v>
      </c>
      <c r="E380" s="4">
        <v>1.82</v>
      </c>
      <c r="F380" s="3" t="s">
        <v>17</v>
      </c>
      <c r="G380" s="3" t="s">
        <v>15</v>
      </c>
      <c r="H380" s="5">
        <f t="shared" si="13"/>
        <v>47.95616471</v>
      </c>
      <c r="I380" s="5">
        <f t="array" ref="I380">XLOOKUP(A380,protein_data!A:A,protein_data!B:B,"")</f>
        <v>156</v>
      </c>
      <c r="J380" s="5" t="str">
        <f t="shared" si="14"/>
        <v>Responder</v>
      </c>
    </row>
    <row r="381" ht="22.5" customHeight="1">
      <c r="A381" s="3" t="s">
        <v>396</v>
      </c>
      <c r="B381" s="4">
        <v>57.0</v>
      </c>
      <c r="C381" s="3" t="s">
        <v>21</v>
      </c>
      <c r="D381" s="4">
        <v>112.82</v>
      </c>
      <c r="E381" s="4">
        <v>1.62</v>
      </c>
      <c r="F381" s="3" t="s">
        <v>12</v>
      </c>
      <c r="G381" s="3" t="s">
        <v>15</v>
      </c>
      <c r="H381" s="5">
        <f t="shared" si="13"/>
        <v>42.98887365</v>
      </c>
      <c r="I381" s="5">
        <f t="array" ref="I381">XLOOKUP(A381,protein_data!A:A,protein_data!B:B,"")</f>
        <v>93</v>
      </c>
      <c r="J381" s="5" t="str">
        <f t="shared" si="14"/>
        <v>Responder</v>
      </c>
    </row>
    <row r="382" ht="22.5" customHeight="1">
      <c r="A382" s="3" t="s">
        <v>397</v>
      </c>
      <c r="B382" s="4">
        <v>39.0</v>
      </c>
      <c r="C382" s="3" t="s">
        <v>11</v>
      </c>
      <c r="D382" s="4">
        <v>84.68</v>
      </c>
      <c r="E382" s="4">
        <v>1.66</v>
      </c>
      <c r="F382" s="3" t="s">
        <v>12</v>
      </c>
      <c r="G382" s="3" t="s">
        <v>15</v>
      </c>
      <c r="H382" s="5">
        <f t="shared" si="13"/>
        <v>30.73014951</v>
      </c>
      <c r="I382" s="5">
        <f t="array" ref="I382">XLOOKUP(A382,protein_data!A:A,protein_data!B:B,"")</f>
        <v>107</v>
      </c>
      <c r="J382" s="5" t="str">
        <f t="shared" si="14"/>
        <v>Responder</v>
      </c>
    </row>
    <row r="383" ht="22.5" customHeight="1">
      <c r="A383" s="3" t="s">
        <v>398</v>
      </c>
      <c r="B383" s="4">
        <v>75.0</v>
      </c>
      <c r="C383" s="3" t="s">
        <v>11</v>
      </c>
      <c r="D383" s="4">
        <v>53.0</v>
      </c>
      <c r="E383" s="4">
        <v>1.63</v>
      </c>
      <c r="F383" s="3" t="s">
        <v>12</v>
      </c>
      <c r="G383" s="3" t="s">
        <v>15</v>
      </c>
      <c r="H383" s="5">
        <f t="shared" si="13"/>
        <v>19.94805977</v>
      </c>
      <c r="I383" s="5">
        <f t="array" ref="I383">XLOOKUP(A383,protein_data!A:A,protein_data!B:B,"")</f>
        <v>105</v>
      </c>
      <c r="J383" s="5" t="str">
        <f t="shared" si="14"/>
        <v>Responder</v>
      </c>
    </row>
    <row r="384" ht="22.5" customHeight="1">
      <c r="A384" s="3" t="s">
        <v>399</v>
      </c>
      <c r="B384" s="4">
        <v>67.0</v>
      </c>
      <c r="C384" s="3" t="s">
        <v>11</v>
      </c>
      <c r="D384" s="4">
        <v>68.34</v>
      </c>
      <c r="E384" s="4">
        <v>1.64</v>
      </c>
      <c r="F384" s="3" t="s">
        <v>12</v>
      </c>
      <c r="G384" s="3" t="s">
        <v>15</v>
      </c>
      <c r="H384" s="5">
        <f t="shared" si="13"/>
        <v>25.40898275</v>
      </c>
      <c r="I384" s="5">
        <f t="array" ref="I384">XLOOKUP(A384,protein_data!A:A,protein_data!B:B,"")</f>
        <v>109</v>
      </c>
      <c r="J384" s="5" t="str">
        <f t="shared" si="14"/>
        <v>Responder</v>
      </c>
    </row>
    <row r="385" ht="22.5" customHeight="1">
      <c r="A385" s="3" t="s">
        <v>400</v>
      </c>
      <c r="B385" s="4">
        <v>63.0</v>
      </c>
      <c r="C385" s="3" t="s">
        <v>11</v>
      </c>
      <c r="D385" s="4">
        <v>68.96</v>
      </c>
      <c r="E385" s="4">
        <v>1.66</v>
      </c>
      <c r="F385" s="3" t="s">
        <v>17</v>
      </c>
      <c r="G385" s="3" t="s">
        <v>13</v>
      </c>
      <c r="H385" s="5">
        <f t="shared" si="13"/>
        <v>25.02540282</v>
      </c>
      <c r="I385" s="5">
        <f t="array" ref="I385">XLOOKUP(A385,protein_data!A:A,protein_data!B:B,"")</f>
        <v>90</v>
      </c>
      <c r="J385" s="5" t="str">
        <f t="shared" si="14"/>
        <v>Non-Responder</v>
      </c>
    </row>
    <row r="386" ht="22.5" customHeight="1">
      <c r="A386" s="3" t="s">
        <v>401</v>
      </c>
      <c r="B386" s="4">
        <v>66.0</v>
      </c>
      <c r="C386" s="3" t="s">
        <v>21</v>
      </c>
      <c r="D386" s="4">
        <v>81.32</v>
      </c>
      <c r="E386" s="4">
        <v>1.84</v>
      </c>
      <c r="F386" s="3" t="s">
        <v>12</v>
      </c>
      <c r="G386" s="3" t="s">
        <v>13</v>
      </c>
      <c r="H386" s="5">
        <f t="shared" si="13"/>
        <v>24.01937618</v>
      </c>
      <c r="I386" s="5">
        <f t="array" ref="I386">XLOOKUP(A386,protein_data!A:A,protein_data!B:B,"")</f>
        <v>125</v>
      </c>
      <c r="J386" s="5" t="str">
        <f t="shared" si="14"/>
        <v>Non-Responder</v>
      </c>
    </row>
    <row r="387" ht="22.5" customHeight="1">
      <c r="A387" s="3" t="s">
        <v>402</v>
      </c>
      <c r="B387" s="4">
        <v>76.0</v>
      </c>
      <c r="C387" s="3" t="s">
        <v>11</v>
      </c>
      <c r="D387" s="4">
        <v>61.92</v>
      </c>
      <c r="E387" s="4">
        <v>1.67</v>
      </c>
      <c r="F387" s="3" t="s">
        <v>12</v>
      </c>
      <c r="G387" s="3" t="s">
        <v>15</v>
      </c>
      <c r="H387" s="5">
        <f t="shared" si="13"/>
        <v>22.20230198</v>
      </c>
      <c r="I387" s="5">
        <f t="array" ref="I387">XLOOKUP(A387,protein_data!A:A,protein_data!B:B,"")</f>
        <v>119</v>
      </c>
      <c r="J387" s="5" t="str">
        <f t="shared" si="14"/>
        <v>Responder</v>
      </c>
    </row>
    <row r="388" ht="22.5" customHeight="1">
      <c r="A388" s="3" t="s">
        <v>403</v>
      </c>
      <c r="B388" s="4">
        <v>71.0</v>
      </c>
      <c r="C388" s="3" t="s">
        <v>11</v>
      </c>
      <c r="D388" s="4">
        <v>79.78</v>
      </c>
      <c r="E388" s="4">
        <v>1.57</v>
      </c>
      <c r="F388" s="3" t="s">
        <v>12</v>
      </c>
      <c r="G388" s="3" t="s">
        <v>15</v>
      </c>
      <c r="H388" s="5">
        <f t="shared" si="13"/>
        <v>32.3664246</v>
      </c>
      <c r="I388" s="5">
        <f t="array" ref="I388">XLOOKUP(A388,protein_data!A:A,protein_data!B:B,"")</f>
        <v>116</v>
      </c>
      <c r="J388" s="5" t="str">
        <f t="shared" si="14"/>
        <v>Responder</v>
      </c>
    </row>
    <row r="389" ht="22.5" customHeight="1">
      <c r="A389" s="3" t="s">
        <v>404</v>
      </c>
      <c r="B389" s="4">
        <v>62.0</v>
      </c>
      <c r="C389" s="3" t="s">
        <v>21</v>
      </c>
      <c r="D389" s="4">
        <v>117.25</v>
      </c>
      <c r="E389" s="4">
        <v>1.65</v>
      </c>
      <c r="F389" s="3" t="s">
        <v>17</v>
      </c>
      <c r="G389" s="3" t="s">
        <v>15</v>
      </c>
      <c r="H389" s="5">
        <f t="shared" si="13"/>
        <v>43.06703398</v>
      </c>
      <c r="I389" s="5">
        <f t="array" ref="I389">XLOOKUP(A389,protein_data!A:A,protein_data!B:B,"")</f>
        <v>105</v>
      </c>
      <c r="J389" s="5" t="str">
        <f t="shared" si="14"/>
        <v>Responder</v>
      </c>
    </row>
    <row r="390" ht="22.5" customHeight="1">
      <c r="A390" s="3" t="s">
        <v>405</v>
      </c>
      <c r="B390" s="4">
        <v>56.0</v>
      </c>
      <c r="C390" s="3" t="s">
        <v>11</v>
      </c>
      <c r="D390" s="4">
        <v>86.65</v>
      </c>
      <c r="E390" s="4">
        <v>1.65</v>
      </c>
      <c r="F390" s="3" t="s">
        <v>17</v>
      </c>
      <c r="G390" s="3" t="s">
        <v>13</v>
      </c>
      <c r="H390" s="5">
        <f t="shared" si="13"/>
        <v>31.82736455</v>
      </c>
      <c r="I390" s="5">
        <f t="array" ref="I390">XLOOKUP(A390,protein_data!A:A,protein_data!B:B,"")</f>
        <v>144</v>
      </c>
      <c r="J390" s="5" t="str">
        <f t="shared" si="14"/>
        <v>Non-Responder</v>
      </c>
    </row>
    <row r="391" ht="22.5" customHeight="1">
      <c r="A391" s="3" t="s">
        <v>406</v>
      </c>
      <c r="B391" s="4">
        <v>74.0</v>
      </c>
      <c r="C391" s="3" t="s">
        <v>21</v>
      </c>
      <c r="D391" s="4">
        <v>94.58</v>
      </c>
      <c r="E391" s="4">
        <v>1.74</v>
      </c>
      <c r="F391" s="3" t="s">
        <v>17</v>
      </c>
      <c r="G391" s="3" t="s">
        <v>13</v>
      </c>
      <c r="H391" s="5">
        <f t="shared" si="13"/>
        <v>31.23926542</v>
      </c>
      <c r="I391" s="5">
        <f t="array" ref="I391">XLOOKUP(A391,protein_data!A:A,protein_data!B:B,"")</f>
        <v>100</v>
      </c>
      <c r="J391" s="5" t="str">
        <f t="shared" si="14"/>
        <v>Non-Responder</v>
      </c>
    </row>
    <row r="392" ht="22.5" customHeight="1">
      <c r="A392" s="3" t="s">
        <v>407</v>
      </c>
      <c r="B392" s="4">
        <v>73.0</v>
      </c>
      <c r="C392" s="3" t="s">
        <v>21</v>
      </c>
      <c r="D392" s="4">
        <v>107.34</v>
      </c>
      <c r="E392" s="4">
        <v>1.84</v>
      </c>
      <c r="F392" s="3" t="s">
        <v>12</v>
      </c>
      <c r="G392" s="3" t="s">
        <v>15</v>
      </c>
      <c r="H392" s="5">
        <f t="shared" si="13"/>
        <v>31.70486767</v>
      </c>
      <c r="I392" s="5">
        <f t="array" ref="I392">XLOOKUP(A392,protein_data!A:A,protein_data!B:B,"")</f>
        <v>100</v>
      </c>
      <c r="J392" s="5" t="str">
        <f t="shared" si="14"/>
        <v>Responder</v>
      </c>
    </row>
    <row r="393" ht="22.5" customHeight="1">
      <c r="A393" s="3" t="s">
        <v>408</v>
      </c>
      <c r="B393" s="4">
        <v>60.0</v>
      </c>
      <c r="C393" s="3" t="s">
        <v>21</v>
      </c>
      <c r="D393" s="4">
        <v>151.28</v>
      </c>
      <c r="E393" s="4">
        <v>1.83</v>
      </c>
      <c r="F393" s="3" t="s">
        <v>12</v>
      </c>
      <c r="G393" s="3" t="s">
        <v>13</v>
      </c>
      <c r="H393" s="5">
        <f t="shared" si="13"/>
        <v>45.17304189</v>
      </c>
      <c r="I393" s="5">
        <f t="array" ref="I393">XLOOKUP(A393,protein_data!A:A,protein_data!B:B,"")</f>
        <v>166</v>
      </c>
      <c r="J393" s="5" t="str">
        <f t="shared" si="14"/>
        <v>Non-Responder</v>
      </c>
    </row>
    <row r="394" ht="22.5" customHeight="1">
      <c r="A394" s="3" t="s">
        <v>409</v>
      </c>
      <c r="B394" s="4">
        <v>71.0</v>
      </c>
      <c r="C394" s="3" t="s">
        <v>21</v>
      </c>
      <c r="D394" s="4">
        <v>66.92</v>
      </c>
      <c r="E394" s="4">
        <v>1.69</v>
      </c>
      <c r="F394" s="3" t="s">
        <v>17</v>
      </c>
      <c r="G394" s="3" t="s">
        <v>13</v>
      </c>
      <c r="H394" s="5">
        <f t="shared" si="13"/>
        <v>23.43055215</v>
      </c>
      <c r="I394" s="5">
        <f t="array" ref="I394">XLOOKUP(A394,protein_data!A:A,protein_data!B:B,"")</f>
        <v>131</v>
      </c>
      <c r="J394" s="5" t="str">
        <f t="shared" si="14"/>
        <v>Non-Responder</v>
      </c>
    </row>
    <row r="395" ht="22.5" customHeight="1">
      <c r="A395" s="3" t="s">
        <v>410</v>
      </c>
      <c r="B395" s="4">
        <v>68.0</v>
      </c>
      <c r="C395" s="3" t="s">
        <v>21</v>
      </c>
      <c r="D395" s="4">
        <v>57.62</v>
      </c>
      <c r="E395" s="4">
        <v>1.62</v>
      </c>
      <c r="F395" s="3" t="s">
        <v>12</v>
      </c>
      <c r="G395" s="3" t="s">
        <v>15</v>
      </c>
      <c r="H395" s="5">
        <f t="shared" si="13"/>
        <v>21.95549459</v>
      </c>
      <c r="I395" s="5">
        <f t="array" ref="I395">XLOOKUP(A395,protein_data!A:A,protein_data!B:B,"")</f>
        <v>116</v>
      </c>
      <c r="J395" s="5" t="str">
        <f t="shared" si="14"/>
        <v>Responder</v>
      </c>
    </row>
    <row r="396" ht="22.5" customHeight="1">
      <c r="A396" s="3" t="s">
        <v>411</v>
      </c>
      <c r="B396" s="4">
        <v>72.0</v>
      </c>
      <c r="C396" s="3" t="s">
        <v>21</v>
      </c>
      <c r="D396" s="4">
        <v>101.09</v>
      </c>
      <c r="E396" s="4">
        <v>1.76</v>
      </c>
      <c r="F396" s="3" t="s">
        <v>17</v>
      </c>
      <c r="G396" s="3" t="s">
        <v>13</v>
      </c>
      <c r="H396" s="5">
        <f t="shared" si="13"/>
        <v>32.63494318</v>
      </c>
      <c r="I396" s="5">
        <f t="array" ref="I396">XLOOKUP(A396,protein_data!A:A,protein_data!B:B,"")</f>
        <v>158</v>
      </c>
      <c r="J396" s="5" t="str">
        <f t="shared" si="14"/>
        <v>Non-Responder</v>
      </c>
    </row>
    <row r="397" ht="22.5" customHeight="1">
      <c r="A397" s="3" t="s">
        <v>412</v>
      </c>
      <c r="B397" s="4">
        <v>68.0</v>
      </c>
      <c r="C397" s="3" t="s">
        <v>21</v>
      </c>
      <c r="D397" s="4">
        <v>78.43</v>
      </c>
      <c r="E397" s="4">
        <v>1.69</v>
      </c>
      <c r="F397" s="3" t="s">
        <v>17</v>
      </c>
      <c r="G397" s="3" t="s">
        <v>13</v>
      </c>
      <c r="H397" s="5">
        <f t="shared" si="13"/>
        <v>27.46052309</v>
      </c>
      <c r="I397" s="5">
        <f t="array" ref="I397">XLOOKUP(A397,protein_data!A:A,protein_data!B:B,"")</f>
        <v>127</v>
      </c>
      <c r="J397" s="5" t="str">
        <f t="shared" si="14"/>
        <v>Non-Responder</v>
      </c>
    </row>
    <row r="398" ht="22.5" customHeight="1">
      <c r="A398" s="3" t="s">
        <v>413</v>
      </c>
      <c r="B398" s="4">
        <v>73.0</v>
      </c>
      <c r="C398" s="3" t="s">
        <v>21</v>
      </c>
      <c r="D398" s="4">
        <v>78.61</v>
      </c>
      <c r="E398" s="4">
        <v>1.79</v>
      </c>
      <c r="F398" s="3" t="s">
        <v>17</v>
      </c>
      <c r="G398" s="3" t="s">
        <v>13</v>
      </c>
      <c r="H398" s="5">
        <f t="shared" si="13"/>
        <v>24.53419057</v>
      </c>
      <c r="I398" s="5">
        <f t="array" ref="I398">XLOOKUP(A398,protein_data!A:A,protein_data!B:B,"")</f>
        <v>96</v>
      </c>
      <c r="J398" s="5" t="str">
        <f t="shared" si="14"/>
        <v>Non-Responder</v>
      </c>
    </row>
    <row r="399" ht="22.5" customHeight="1">
      <c r="A399" s="3" t="s">
        <v>414</v>
      </c>
      <c r="B399" s="4">
        <v>64.0</v>
      </c>
      <c r="C399" s="3" t="s">
        <v>21</v>
      </c>
      <c r="D399" s="4">
        <v>116.48</v>
      </c>
      <c r="E399" s="4">
        <v>1.85</v>
      </c>
      <c r="F399" s="3" t="s">
        <v>17</v>
      </c>
      <c r="G399" s="3" t="s">
        <v>13</v>
      </c>
      <c r="H399" s="5">
        <f t="shared" si="13"/>
        <v>34.03360117</v>
      </c>
      <c r="I399" s="5">
        <f t="array" ref="I399">XLOOKUP(A399,protein_data!A:A,protein_data!B:B,"")</f>
        <v>131</v>
      </c>
      <c r="J399" s="5" t="str">
        <f t="shared" si="14"/>
        <v>Non-Responder</v>
      </c>
    </row>
    <row r="400" ht="22.5" customHeight="1">
      <c r="A400" s="3" t="s">
        <v>415</v>
      </c>
      <c r="B400" s="4">
        <v>64.0</v>
      </c>
      <c r="C400" s="3" t="s">
        <v>11</v>
      </c>
      <c r="D400" s="4">
        <v>50.29</v>
      </c>
      <c r="E400" s="4">
        <v>1.54</v>
      </c>
      <c r="F400" s="3" t="s">
        <v>17</v>
      </c>
      <c r="G400" s="3" t="s">
        <v>13</v>
      </c>
      <c r="H400" s="5">
        <f t="shared" si="13"/>
        <v>21.20509361</v>
      </c>
      <c r="I400" s="5">
        <f t="array" ref="I400">XLOOKUP(A400,protein_data!A:A,protein_data!B:B,"")</f>
        <v>82</v>
      </c>
      <c r="J400" s="5" t="str">
        <f t="shared" si="14"/>
        <v>Non-Responder</v>
      </c>
    </row>
    <row r="401" ht="22.5" customHeight="1">
      <c r="A401" s="3" t="s">
        <v>416</v>
      </c>
      <c r="B401" s="4">
        <v>66.0</v>
      </c>
      <c r="C401" s="3" t="s">
        <v>21</v>
      </c>
      <c r="D401" s="4">
        <v>109.78</v>
      </c>
      <c r="E401" s="4">
        <v>1.78</v>
      </c>
      <c r="F401" s="3" t="s">
        <v>12</v>
      </c>
      <c r="G401" s="3" t="s">
        <v>13</v>
      </c>
      <c r="H401" s="5">
        <f t="shared" si="13"/>
        <v>34.64840298</v>
      </c>
      <c r="I401" s="5">
        <f t="array" ref="I401">XLOOKUP(A401,protein_data!A:A,protein_data!B:B,"")</f>
        <v>193</v>
      </c>
      <c r="J401" s="5" t="str">
        <f t="shared" si="14"/>
        <v>Non-Responder</v>
      </c>
    </row>
    <row r="402" ht="22.5" customHeight="1">
      <c r="A402" s="3" t="s">
        <v>417</v>
      </c>
      <c r="B402" s="4">
        <v>54.0</v>
      </c>
      <c r="C402" s="3" t="s">
        <v>21</v>
      </c>
      <c r="D402" s="4">
        <v>91.55</v>
      </c>
      <c r="E402" s="4">
        <v>1.7</v>
      </c>
      <c r="F402" s="3" t="s">
        <v>12</v>
      </c>
      <c r="G402" s="3" t="s">
        <v>15</v>
      </c>
      <c r="H402" s="5">
        <f t="shared" si="13"/>
        <v>31.67820069</v>
      </c>
      <c r="I402" s="5">
        <f t="array" ref="I402">XLOOKUP(A402,protein_data!A:A,protein_data!B:B,"")</f>
        <v>95</v>
      </c>
      <c r="J402" s="5" t="str">
        <f t="shared" si="14"/>
        <v>Responder</v>
      </c>
    </row>
    <row r="403" ht="22.5" customHeight="1">
      <c r="A403" s="3" t="s">
        <v>418</v>
      </c>
      <c r="B403" s="4">
        <v>56.0</v>
      </c>
      <c r="C403" s="3" t="s">
        <v>21</v>
      </c>
      <c r="D403" s="4">
        <v>75.51</v>
      </c>
      <c r="E403" s="4">
        <v>1.77</v>
      </c>
      <c r="F403" s="3" t="s">
        <v>12</v>
      </c>
      <c r="G403" s="3" t="s">
        <v>13</v>
      </c>
      <c r="H403" s="5">
        <f t="shared" si="13"/>
        <v>24.10226946</v>
      </c>
      <c r="I403" s="5">
        <f t="array" ref="I403">XLOOKUP(A403,protein_data!A:A,protein_data!B:B,"")</f>
        <v>137</v>
      </c>
      <c r="J403" s="5" t="str">
        <f t="shared" si="14"/>
        <v>Non-Responder</v>
      </c>
    </row>
    <row r="404" ht="22.5" customHeight="1">
      <c r="A404" s="3" t="s">
        <v>419</v>
      </c>
      <c r="B404" s="4">
        <v>67.0</v>
      </c>
      <c r="C404" s="3" t="s">
        <v>11</v>
      </c>
      <c r="D404" s="4">
        <v>101.42</v>
      </c>
      <c r="E404" s="4">
        <v>1.7</v>
      </c>
      <c r="F404" s="3" t="s">
        <v>12</v>
      </c>
      <c r="G404" s="3" t="s">
        <v>15</v>
      </c>
      <c r="H404" s="5">
        <f t="shared" si="13"/>
        <v>35.09342561</v>
      </c>
      <c r="I404" s="5">
        <f t="array" ref="I404">XLOOKUP(A404,protein_data!A:A,protein_data!B:B,"")</f>
        <v>136</v>
      </c>
      <c r="J404" s="5" t="str">
        <f t="shared" si="14"/>
        <v>Responder</v>
      </c>
    </row>
    <row r="405" ht="22.5" customHeight="1">
      <c r="A405" s="3" t="s">
        <v>420</v>
      </c>
      <c r="B405" s="4">
        <v>60.0</v>
      </c>
      <c r="C405" s="3" t="s">
        <v>21</v>
      </c>
      <c r="D405" s="4">
        <v>96.61</v>
      </c>
      <c r="E405" s="4">
        <v>1.76</v>
      </c>
      <c r="F405" s="3" t="s">
        <v>17</v>
      </c>
      <c r="G405" s="3" t="s">
        <v>15</v>
      </c>
      <c r="H405" s="5">
        <f t="shared" si="13"/>
        <v>31.18866219</v>
      </c>
      <c r="I405" s="5">
        <f t="array" ref="I405">XLOOKUP(A405,protein_data!A:A,protein_data!B:B,"")</f>
        <v>72</v>
      </c>
      <c r="J405" s="5" t="str">
        <f t="shared" si="14"/>
        <v>Responder</v>
      </c>
    </row>
    <row r="406" ht="22.5" customHeight="1">
      <c r="A406" s="3" t="s">
        <v>421</v>
      </c>
      <c r="B406" s="4">
        <v>64.0</v>
      </c>
      <c r="C406" s="3" t="s">
        <v>11</v>
      </c>
      <c r="D406" s="4">
        <v>88.74</v>
      </c>
      <c r="E406" s="4">
        <v>1.64</v>
      </c>
      <c r="F406" s="3" t="s">
        <v>17</v>
      </c>
      <c r="G406" s="3" t="s">
        <v>13</v>
      </c>
      <c r="H406" s="5">
        <f t="shared" si="13"/>
        <v>32.99375372</v>
      </c>
      <c r="I406" s="5">
        <f t="array" ref="I406">XLOOKUP(A406,protein_data!A:A,protein_data!B:B,"")</f>
        <v>168</v>
      </c>
      <c r="J406" s="5" t="str">
        <f t="shared" si="14"/>
        <v>Non-Responder</v>
      </c>
    </row>
    <row r="407" ht="22.5" customHeight="1">
      <c r="A407" s="3" t="s">
        <v>422</v>
      </c>
      <c r="B407" s="4">
        <v>56.0</v>
      </c>
      <c r="C407" s="3" t="s">
        <v>21</v>
      </c>
      <c r="D407" s="4">
        <v>126.01</v>
      </c>
      <c r="E407" s="4">
        <v>1.74</v>
      </c>
      <c r="F407" s="3" t="s">
        <v>17</v>
      </c>
      <c r="G407" s="3" t="s">
        <v>13</v>
      </c>
      <c r="H407" s="5">
        <f t="shared" si="13"/>
        <v>41.62042542</v>
      </c>
      <c r="I407" s="5">
        <f t="array" ref="I407">XLOOKUP(A407,protein_data!A:A,protein_data!B:B,"")</f>
        <v>123</v>
      </c>
      <c r="J407" s="5" t="str">
        <f t="shared" si="14"/>
        <v>Non-Responder</v>
      </c>
    </row>
    <row r="408" ht="22.5" customHeight="1">
      <c r="A408" s="3" t="s">
        <v>423</v>
      </c>
      <c r="B408" s="4">
        <v>64.0</v>
      </c>
      <c r="C408" s="3" t="s">
        <v>11</v>
      </c>
      <c r="D408" s="4">
        <v>76.08</v>
      </c>
      <c r="E408" s="4">
        <v>1.62</v>
      </c>
      <c r="F408" s="3" t="s">
        <v>12</v>
      </c>
      <c r="G408" s="3" t="s">
        <v>15</v>
      </c>
      <c r="H408" s="5">
        <f t="shared" si="13"/>
        <v>28.98948331</v>
      </c>
      <c r="I408" s="5">
        <f t="array" ref="I408">XLOOKUP(A408,protein_data!A:A,protein_data!B:B,"")</f>
        <v>115</v>
      </c>
      <c r="J408" s="5" t="str">
        <f t="shared" si="14"/>
        <v>Responder</v>
      </c>
    </row>
    <row r="409" ht="22.5" customHeight="1">
      <c r="A409" s="3" t="s">
        <v>424</v>
      </c>
      <c r="B409" s="4">
        <v>52.0</v>
      </c>
      <c r="C409" s="3" t="s">
        <v>21</v>
      </c>
      <c r="D409" s="4">
        <v>67.16</v>
      </c>
      <c r="E409" s="4">
        <v>1.76</v>
      </c>
      <c r="F409" s="3" t="s">
        <v>12</v>
      </c>
      <c r="G409" s="3" t="s">
        <v>13</v>
      </c>
      <c r="H409" s="5">
        <f t="shared" si="13"/>
        <v>21.68130165</v>
      </c>
      <c r="I409" s="5">
        <f t="array" ref="I409">XLOOKUP(A409,protein_data!A:A,protein_data!B:B,"")</f>
        <v>101</v>
      </c>
      <c r="J409" s="5" t="str">
        <f t="shared" si="14"/>
        <v>Non-Responder</v>
      </c>
    </row>
    <row r="410" ht="22.5" customHeight="1">
      <c r="A410" s="3" t="s">
        <v>425</v>
      </c>
      <c r="B410" s="4">
        <v>59.0</v>
      </c>
      <c r="C410" s="3" t="s">
        <v>21</v>
      </c>
      <c r="D410" s="4">
        <v>85.23</v>
      </c>
      <c r="E410" s="4">
        <v>1.82</v>
      </c>
      <c r="F410" s="3" t="s">
        <v>17</v>
      </c>
      <c r="G410" s="3" t="s">
        <v>13</v>
      </c>
      <c r="H410" s="5">
        <f t="shared" si="13"/>
        <v>25.73058809</v>
      </c>
      <c r="I410" s="5">
        <f t="array" ref="I410">XLOOKUP(A410,protein_data!A:A,protein_data!B:B,"")</f>
        <v>197</v>
      </c>
      <c r="J410" s="5" t="str">
        <f t="shared" si="14"/>
        <v>Non-Responder</v>
      </c>
    </row>
    <row r="411" ht="22.5" customHeight="1">
      <c r="A411" s="3" t="s">
        <v>426</v>
      </c>
      <c r="B411" s="4">
        <v>66.0</v>
      </c>
      <c r="C411" s="3" t="s">
        <v>11</v>
      </c>
      <c r="D411" s="4">
        <v>118.77</v>
      </c>
      <c r="E411" s="4">
        <v>1.67</v>
      </c>
      <c r="F411" s="3" t="s">
        <v>17</v>
      </c>
      <c r="G411" s="3" t="s">
        <v>13</v>
      </c>
      <c r="H411" s="5">
        <f t="shared" si="13"/>
        <v>42.58668292</v>
      </c>
      <c r="I411" s="5">
        <f t="array" ref="I411">XLOOKUP(A411,protein_data!A:A,protein_data!B:B,"")</f>
        <v>172</v>
      </c>
      <c r="J411" s="5" t="str">
        <f t="shared" si="14"/>
        <v>Non-Responder</v>
      </c>
    </row>
    <row r="412" ht="22.5" customHeight="1">
      <c r="A412" s="3" t="s">
        <v>427</v>
      </c>
      <c r="B412" s="4">
        <v>59.0</v>
      </c>
      <c r="C412" s="3" t="s">
        <v>11</v>
      </c>
      <c r="D412" s="4">
        <v>94.37</v>
      </c>
      <c r="E412" s="4">
        <v>1.63</v>
      </c>
      <c r="F412" s="3" t="s">
        <v>17</v>
      </c>
      <c r="G412" s="3" t="s">
        <v>15</v>
      </c>
      <c r="H412" s="5">
        <f t="shared" si="13"/>
        <v>35.51883774</v>
      </c>
      <c r="I412" s="5">
        <f t="array" ref="I412">XLOOKUP(A412,protein_data!A:A,protein_data!B:B,"")</f>
        <v>102</v>
      </c>
      <c r="J412" s="5" t="str">
        <f t="shared" si="14"/>
        <v>Responder</v>
      </c>
    </row>
    <row r="413" ht="22.5" customHeight="1">
      <c r="A413" s="3" t="s">
        <v>428</v>
      </c>
      <c r="B413" s="4">
        <v>59.0</v>
      </c>
      <c r="C413" s="3" t="s">
        <v>21</v>
      </c>
      <c r="D413" s="4">
        <v>96.18</v>
      </c>
      <c r="E413" s="4">
        <v>1.68</v>
      </c>
      <c r="F413" s="3" t="s">
        <v>12</v>
      </c>
      <c r="G413" s="3" t="s">
        <v>15</v>
      </c>
      <c r="H413" s="5">
        <f t="shared" si="13"/>
        <v>34.07738095</v>
      </c>
      <c r="I413" s="5">
        <f t="array" ref="I413">XLOOKUP(A413,protein_data!A:A,protein_data!B:B,"")</f>
        <v>112</v>
      </c>
      <c r="J413" s="5" t="str">
        <f t="shared" si="14"/>
        <v>Responder</v>
      </c>
    </row>
    <row r="414" ht="22.5" customHeight="1">
      <c r="A414" s="3" t="s">
        <v>429</v>
      </c>
      <c r="B414" s="4">
        <v>37.0</v>
      </c>
      <c r="C414" s="3" t="s">
        <v>21</v>
      </c>
      <c r="D414" s="4">
        <v>141.42</v>
      </c>
      <c r="E414" s="4">
        <v>1.83</v>
      </c>
      <c r="F414" s="3" t="s">
        <v>12</v>
      </c>
      <c r="G414" s="3" t="s">
        <v>13</v>
      </c>
      <c r="H414" s="5">
        <f t="shared" si="13"/>
        <v>42.22879154</v>
      </c>
      <c r="I414" s="5">
        <f t="array" ref="I414">XLOOKUP(A414,protein_data!A:A,protein_data!B:B,"")</f>
        <v>143</v>
      </c>
      <c r="J414" s="5" t="str">
        <f t="shared" si="14"/>
        <v>Non-Responder</v>
      </c>
    </row>
    <row r="415" ht="22.5" customHeight="1">
      <c r="A415" s="3" t="s">
        <v>430</v>
      </c>
      <c r="B415" s="4">
        <v>68.0</v>
      </c>
      <c r="C415" s="3" t="s">
        <v>21</v>
      </c>
      <c r="D415" s="4">
        <v>75.25</v>
      </c>
      <c r="E415" s="4">
        <v>1.7</v>
      </c>
      <c r="F415" s="3" t="s">
        <v>17</v>
      </c>
      <c r="G415" s="3" t="s">
        <v>13</v>
      </c>
      <c r="H415" s="5">
        <f t="shared" si="13"/>
        <v>26.03806228</v>
      </c>
      <c r="I415" s="5">
        <f t="array" ref="I415">XLOOKUP(A415,protein_data!A:A,protein_data!B:B,"")</f>
        <v>143</v>
      </c>
      <c r="J415" s="5" t="str">
        <f t="shared" si="14"/>
        <v>Non-Responder</v>
      </c>
    </row>
    <row r="416" ht="22.5" customHeight="1">
      <c r="A416" s="3" t="s">
        <v>431</v>
      </c>
      <c r="B416" s="4">
        <v>62.0</v>
      </c>
      <c r="C416" s="3" t="s">
        <v>21</v>
      </c>
      <c r="D416" s="4">
        <v>114.68</v>
      </c>
      <c r="E416" s="4">
        <v>1.83</v>
      </c>
      <c r="F416" s="3" t="s">
        <v>17</v>
      </c>
      <c r="G416" s="3" t="s">
        <v>13</v>
      </c>
      <c r="H416" s="5">
        <f t="shared" si="13"/>
        <v>34.24408015</v>
      </c>
      <c r="I416" s="5">
        <f t="array" ref="I416">XLOOKUP(A416,protein_data!A:A,protein_data!B:B,"")</f>
        <v>138</v>
      </c>
      <c r="J416" s="5" t="str">
        <f t="shared" si="14"/>
        <v>Non-Responder</v>
      </c>
    </row>
    <row r="417" ht="22.5" customHeight="1">
      <c r="A417" s="3" t="s">
        <v>432</v>
      </c>
      <c r="B417" s="4">
        <v>59.0</v>
      </c>
      <c r="C417" s="3" t="s">
        <v>11</v>
      </c>
      <c r="D417" s="4">
        <v>94.72</v>
      </c>
      <c r="E417" s="4">
        <v>1.63</v>
      </c>
      <c r="F417" s="3" t="s">
        <v>17</v>
      </c>
      <c r="G417" s="3" t="s">
        <v>15</v>
      </c>
      <c r="H417" s="5">
        <f t="shared" si="13"/>
        <v>35.65057021</v>
      </c>
      <c r="I417" s="5">
        <f t="array" ref="I417">XLOOKUP(A417,protein_data!A:A,protein_data!B:B,"")</f>
        <v>173</v>
      </c>
      <c r="J417" s="5" t="str">
        <f t="shared" si="14"/>
        <v>Responder</v>
      </c>
    </row>
    <row r="418" ht="22.5" customHeight="1">
      <c r="A418" s="3" t="s">
        <v>433</v>
      </c>
      <c r="B418" s="4">
        <v>63.0</v>
      </c>
      <c r="C418" s="3" t="s">
        <v>11</v>
      </c>
      <c r="D418" s="4">
        <v>70.43</v>
      </c>
      <c r="E418" s="4">
        <v>1.61</v>
      </c>
      <c r="F418" s="3" t="s">
        <v>17</v>
      </c>
      <c r="G418" s="3" t="s">
        <v>13</v>
      </c>
      <c r="H418" s="5">
        <f t="shared" si="13"/>
        <v>27.17101964</v>
      </c>
      <c r="I418" s="5">
        <f t="array" ref="I418">XLOOKUP(A418,protein_data!A:A,protein_data!B:B,"")</f>
        <v>97</v>
      </c>
      <c r="J418" s="5" t="str">
        <f t="shared" si="14"/>
        <v>Non-Responder</v>
      </c>
    </row>
    <row r="419" ht="22.5" customHeight="1">
      <c r="A419" s="3" t="s">
        <v>434</v>
      </c>
      <c r="B419" s="4">
        <v>70.0</v>
      </c>
      <c r="C419" s="3" t="s">
        <v>21</v>
      </c>
      <c r="D419" s="4">
        <v>118.26</v>
      </c>
      <c r="E419" s="4">
        <v>1.76</v>
      </c>
      <c r="F419" s="3" t="s">
        <v>12</v>
      </c>
      <c r="G419" s="3" t="s">
        <v>13</v>
      </c>
      <c r="H419" s="5">
        <f t="shared" si="13"/>
        <v>38.17794421</v>
      </c>
      <c r="I419" s="5">
        <f t="array" ref="I419">XLOOKUP(A419,protein_data!A:A,protein_data!B:B,"")</f>
        <v>144</v>
      </c>
      <c r="J419" s="5" t="str">
        <f t="shared" si="14"/>
        <v>Non-Responder</v>
      </c>
    </row>
    <row r="420" ht="22.5" customHeight="1">
      <c r="A420" s="3" t="s">
        <v>435</v>
      </c>
      <c r="B420" s="4">
        <v>63.0</v>
      </c>
      <c r="C420" s="3" t="s">
        <v>21</v>
      </c>
      <c r="D420" s="4">
        <v>60.49</v>
      </c>
      <c r="E420" s="4">
        <v>1.83</v>
      </c>
      <c r="F420" s="3" t="s">
        <v>12</v>
      </c>
      <c r="G420" s="3" t="s">
        <v>15</v>
      </c>
      <c r="H420" s="5">
        <f t="shared" si="13"/>
        <v>18.06264744</v>
      </c>
      <c r="I420" s="5">
        <f t="array" ref="I420">XLOOKUP(A420,protein_data!A:A,protein_data!B:B,"")</f>
        <v>83</v>
      </c>
      <c r="J420" s="5" t="str">
        <f t="shared" si="14"/>
        <v>Responder</v>
      </c>
    </row>
    <row r="421" ht="22.5" customHeight="1">
      <c r="A421" s="3" t="s">
        <v>436</v>
      </c>
      <c r="B421" s="4">
        <v>49.0</v>
      </c>
      <c r="C421" s="3" t="s">
        <v>11</v>
      </c>
      <c r="D421" s="4">
        <v>68.31</v>
      </c>
      <c r="E421" s="4">
        <v>1.61</v>
      </c>
      <c r="F421" s="3" t="s">
        <v>12</v>
      </c>
      <c r="G421" s="3" t="s">
        <v>13</v>
      </c>
      <c r="H421" s="5">
        <f t="shared" si="13"/>
        <v>26.35314996</v>
      </c>
      <c r="I421" s="5">
        <f t="array" ref="I421">XLOOKUP(A421,protein_data!A:A,protein_data!B:B,"")</f>
        <v>129</v>
      </c>
      <c r="J421" s="5" t="str">
        <f t="shared" si="14"/>
        <v>Non-Responder</v>
      </c>
    </row>
    <row r="422" ht="22.5" customHeight="1">
      <c r="A422" s="3" t="s">
        <v>437</v>
      </c>
      <c r="B422" s="4">
        <v>55.0</v>
      </c>
      <c r="C422" s="3" t="s">
        <v>21</v>
      </c>
      <c r="D422" s="4">
        <v>131.97</v>
      </c>
      <c r="E422" s="4">
        <v>1.71</v>
      </c>
      <c r="F422" s="3" t="s">
        <v>17</v>
      </c>
      <c r="G422" s="3" t="s">
        <v>15</v>
      </c>
      <c r="H422" s="5">
        <f t="shared" si="13"/>
        <v>45.13183544</v>
      </c>
      <c r="I422" s="5">
        <f t="array" ref="I422">XLOOKUP(A422,protein_data!A:A,protein_data!B:B,"")</f>
        <v>119</v>
      </c>
      <c r="J422" s="5" t="str">
        <f t="shared" si="14"/>
        <v>Responder</v>
      </c>
    </row>
    <row r="423" ht="22.5" customHeight="1">
      <c r="A423" s="3" t="s">
        <v>438</v>
      </c>
      <c r="B423" s="4">
        <v>69.0</v>
      </c>
      <c r="C423" s="3" t="s">
        <v>11</v>
      </c>
      <c r="D423" s="4">
        <v>52.2</v>
      </c>
      <c r="E423" s="4">
        <v>1.42</v>
      </c>
      <c r="F423" s="3" t="s">
        <v>17</v>
      </c>
      <c r="G423" s="3" t="s">
        <v>13</v>
      </c>
      <c r="H423" s="5">
        <f t="shared" si="13"/>
        <v>25.88772069</v>
      </c>
      <c r="I423" s="5">
        <f t="array" ref="I423">XLOOKUP(A423,protein_data!A:A,protein_data!B:B,"")</f>
        <v>94</v>
      </c>
      <c r="J423" s="5" t="str">
        <f t="shared" si="14"/>
        <v>Non-Responder</v>
      </c>
    </row>
    <row r="424" ht="22.5" customHeight="1">
      <c r="A424" s="3" t="s">
        <v>439</v>
      </c>
      <c r="B424" s="4">
        <v>47.0</v>
      </c>
      <c r="C424" s="3" t="s">
        <v>21</v>
      </c>
      <c r="D424" s="4">
        <v>122.82</v>
      </c>
      <c r="E424" s="4">
        <v>1.75</v>
      </c>
      <c r="F424" s="3" t="s">
        <v>12</v>
      </c>
      <c r="G424" s="3" t="s">
        <v>15</v>
      </c>
      <c r="H424" s="5">
        <f t="shared" si="13"/>
        <v>40.1044898</v>
      </c>
      <c r="I424" s="5">
        <f t="array" ref="I424">XLOOKUP(A424,protein_data!A:A,protein_data!B:B,"")</f>
        <v>102</v>
      </c>
      <c r="J424" s="5" t="str">
        <f t="shared" si="14"/>
        <v>Responder</v>
      </c>
    </row>
    <row r="425" ht="22.5" customHeight="1">
      <c r="A425" s="3" t="s">
        <v>440</v>
      </c>
      <c r="B425" s="4">
        <v>54.0</v>
      </c>
      <c r="C425" s="3" t="s">
        <v>21</v>
      </c>
      <c r="D425" s="4">
        <v>112.9</v>
      </c>
      <c r="E425" s="4">
        <v>1.92</v>
      </c>
      <c r="F425" s="3" t="s">
        <v>17</v>
      </c>
      <c r="G425" s="3" t="s">
        <v>13</v>
      </c>
      <c r="H425" s="5">
        <f t="shared" si="13"/>
        <v>30.62608507</v>
      </c>
      <c r="I425" s="5">
        <f t="array" ref="I425">XLOOKUP(A425,protein_data!A:A,protein_data!B:B,"")</f>
        <v>115</v>
      </c>
      <c r="J425" s="5" t="str">
        <f t="shared" si="14"/>
        <v>Non-Responder</v>
      </c>
    </row>
    <row r="426" ht="22.5" customHeight="1">
      <c r="A426" s="3" t="s">
        <v>441</v>
      </c>
      <c r="B426" s="4">
        <v>59.0</v>
      </c>
      <c r="C426" s="3" t="s">
        <v>11</v>
      </c>
      <c r="D426" s="4">
        <v>102.92</v>
      </c>
      <c r="E426" s="4">
        <v>1.55</v>
      </c>
      <c r="F426" s="3" t="s">
        <v>12</v>
      </c>
      <c r="G426" s="3" t="s">
        <v>13</v>
      </c>
      <c r="H426" s="5">
        <f t="shared" si="13"/>
        <v>42.83870968</v>
      </c>
      <c r="I426" s="5">
        <f t="array" ref="I426">XLOOKUP(A426,protein_data!A:A,protein_data!B:B,"")</f>
        <v>151</v>
      </c>
      <c r="J426" s="5" t="str">
        <f t="shared" si="14"/>
        <v>Non-Responder</v>
      </c>
    </row>
    <row r="427" ht="22.5" customHeight="1">
      <c r="A427" s="3" t="s">
        <v>442</v>
      </c>
      <c r="B427" s="4">
        <v>67.0</v>
      </c>
      <c r="C427" s="3" t="s">
        <v>21</v>
      </c>
      <c r="D427" s="4">
        <v>116.55</v>
      </c>
      <c r="E427" s="4">
        <v>1.78</v>
      </c>
      <c r="F427" s="3" t="s">
        <v>17</v>
      </c>
      <c r="G427" s="3" t="s">
        <v>13</v>
      </c>
      <c r="H427" s="5">
        <f t="shared" si="13"/>
        <v>36.78512814</v>
      </c>
      <c r="I427" s="5">
        <f t="array" ref="I427">XLOOKUP(A427,protein_data!A:A,protein_data!B:B,"")</f>
        <v>184</v>
      </c>
      <c r="J427" s="5" t="str">
        <f t="shared" si="14"/>
        <v>Non-Responder</v>
      </c>
    </row>
    <row r="428" ht="22.5" hidden="1" customHeight="1">
      <c r="A428" s="3" t="s">
        <v>443</v>
      </c>
      <c r="B428" s="4">
        <v>66.0</v>
      </c>
      <c r="C428" s="3" t="s">
        <v>21</v>
      </c>
      <c r="D428" s="3" t="s">
        <v>26</v>
      </c>
      <c r="E428" s="4">
        <v>1.83</v>
      </c>
      <c r="F428" s="3" t="s">
        <v>17</v>
      </c>
      <c r="G428" s="3" t="s">
        <v>13</v>
      </c>
      <c r="H428" s="5"/>
      <c r="I428" s="5"/>
      <c r="J428" s="5"/>
    </row>
    <row r="429" ht="22.5" customHeight="1">
      <c r="A429" s="3" t="s">
        <v>444</v>
      </c>
      <c r="B429" s="4">
        <v>68.0</v>
      </c>
      <c r="C429" s="3" t="s">
        <v>11</v>
      </c>
      <c r="D429" s="4">
        <v>94.12</v>
      </c>
      <c r="E429" s="4">
        <v>1.66</v>
      </c>
      <c r="F429" s="3" t="s">
        <v>12</v>
      </c>
      <c r="G429" s="3" t="s">
        <v>13</v>
      </c>
      <c r="H429" s="5">
        <f t="shared" ref="H429:H495" si="15">(D429)/(E429^2)</f>
        <v>34.15590071</v>
      </c>
      <c r="I429" s="5">
        <f t="array" ref="I429">XLOOKUP(A429,protein_data!A:A,protein_data!B:B,"")</f>
        <v>181</v>
      </c>
      <c r="J429" s="5" t="str">
        <f t="shared" ref="J429:J495" si="16">if(G429="y","Responder","Non-Responder")</f>
        <v>Non-Responder</v>
      </c>
    </row>
    <row r="430" ht="22.5" customHeight="1">
      <c r="A430" s="3" t="s">
        <v>445</v>
      </c>
      <c r="B430" s="4">
        <v>50.0</v>
      </c>
      <c r="C430" s="3" t="s">
        <v>11</v>
      </c>
      <c r="D430" s="4">
        <v>112.63</v>
      </c>
      <c r="E430" s="4">
        <v>1.67</v>
      </c>
      <c r="F430" s="3" t="s">
        <v>12</v>
      </c>
      <c r="G430" s="3" t="s">
        <v>13</v>
      </c>
      <c r="H430" s="5">
        <f t="shared" si="15"/>
        <v>40.38509807</v>
      </c>
      <c r="I430" s="5">
        <f t="array" ref="I430">XLOOKUP(A430,protein_data!A:A,protein_data!B:B,"")</f>
        <v>135</v>
      </c>
      <c r="J430" s="5" t="str">
        <f t="shared" si="16"/>
        <v>Non-Responder</v>
      </c>
    </row>
    <row r="431" ht="22.5" customHeight="1">
      <c r="A431" s="3" t="s">
        <v>446</v>
      </c>
      <c r="B431" s="4">
        <v>69.0</v>
      </c>
      <c r="C431" s="3" t="s">
        <v>21</v>
      </c>
      <c r="D431" s="4">
        <v>112.77</v>
      </c>
      <c r="E431" s="4">
        <v>1.8</v>
      </c>
      <c r="F431" s="3" t="s">
        <v>17</v>
      </c>
      <c r="G431" s="3" t="s">
        <v>15</v>
      </c>
      <c r="H431" s="5">
        <f t="shared" si="15"/>
        <v>34.80555556</v>
      </c>
      <c r="I431" s="5">
        <f t="array" ref="I431">XLOOKUP(A431,protein_data!A:A,protein_data!B:B,"")</f>
        <v>95</v>
      </c>
      <c r="J431" s="5" t="str">
        <f t="shared" si="16"/>
        <v>Responder</v>
      </c>
    </row>
    <row r="432" ht="22.5" customHeight="1">
      <c r="A432" s="3" t="s">
        <v>447</v>
      </c>
      <c r="B432" s="4">
        <v>53.0</v>
      </c>
      <c r="C432" s="3" t="s">
        <v>11</v>
      </c>
      <c r="D432" s="4">
        <v>61.65</v>
      </c>
      <c r="E432" s="4">
        <v>1.67</v>
      </c>
      <c r="F432" s="3" t="s">
        <v>12</v>
      </c>
      <c r="G432" s="3" t="s">
        <v>15</v>
      </c>
      <c r="H432" s="5">
        <f t="shared" si="15"/>
        <v>22.10548962</v>
      </c>
      <c r="I432" s="5">
        <f t="array" ref="I432">XLOOKUP(A432,protein_data!A:A,protein_data!B:B,"")</f>
        <v>99</v>
      </c>
      <c r="J432" s="5" t="str">
        <f t="shared" si="16"/>
        <v>Responder</v>
      </c>
    </row>
    <row r="433" ht="22.5" customHeight="1">
      <c r="A433" s="3" t="s">
        <v>448</v>
      </c>
      <c r="B433" s="4">
        <v>65.0</v>
      </c>
      <c r="C433" s="3" t="s">
        <v>11</v>
      </c>
      <c r="D433" s="4">
        <v>76.67</v>
      </c>
      <c r="E433" s="4">
        <v>1.59</v>
      </c>
      <c r="F433" s="3" t="s">
        <v>12</v>
      </c>
      <c r="G433" s="3" t="s">
        <v>15</v>
      </c>
      <c r="H433" s="5">
        <f t="shared" si="15"/>
        <v>30.32712314</v>
      </c>
      <c r="I433" s="5">
        <f t="array" ref="I433">XLOOKUP(A433,protein_data!A:A,protein_data!B:B,"")</f>
        <v>89</v>
      </c>
      <c r="J433" s="5" t="str">
        <f t="shared" si="16"/>
        <v>Responder</v>
      </c>
    </row>
    <row r="434" ht="22.5" customHeight="1">
      <c r="A434" s="3" t="s">
        <v>449</v>
      </c>
      <c r="B434" s="4">
        <v>74.0</v>
      </c>
      <c r="C434" s="3" t="s">
        <v>11</v>
      </c>
      <c r="D434" s="4">
        <v>78.32</v>
      </c>
      <c r="E434" s="4">
        <v>1.62</v>
      </c>
      <c r="F434" s="3" t="s">
        <v>12</v>
      </c>
      <c r="G434" s="3" t="s">
        <v>15</v>
      </c>
      <c r="H434" s="5">
        <f t="shared" si="15"/>
        <v>29.84301174</v>
      </c>
      <c r="I434" s="5">
        <f t="array" ref="I434">XLOOKUP(A434,protein_data!A:A,protein_data!B:B,"")</f>
        <v>80</v>
      </c>
      <c r="J434" s="5" t="str">
        <f t="shared" si="16"/>
        <v>Responder</v>
      </c>
    </row>
    <row r="435" ht="22.5" customHeight="1">
      <c r="A435" s="3" t="s">
        <v>450</v>
      </c>
      <c r="B435" s="4">
        <v>59.0</v>
      </c>
      <c r="C435" s="3" t="s">
        <v>11</v>
      </c>
      <c r="D435" s="4">
        <v>62.38</v>
      </c>
      <c r="E435" s="4">
        <v>1.56</v>
      </c>
      <c r="F435" s="3" t="s">
        <v>17</v>
      </c>
      <c r="G435" s="3" t="s">
        <v>13</v>
      </c>
      <c r="H435" s="5">
        <f t="shared" si="15"/>
        <v>25.63280736</v>
      </c>
      <c r="I435" s="5">
        <f t="array" ref="I435">XLOOKUP(A435,protein_data!A:A,protein_data!B:B,"")</f>
        <v>139</v>
      </c>
      <c r="J435" s="5" t="str">
        <f t="shared" si="16"/>
        <v>Non-Responder</v>
      </c>
    </row>
    <row r="436" ht="22.5" customHeight="1">
      <c r="A436" s="3" t="s">
        <v>451</v>
      </c>
      <c r="B436" s="4">
        <v>75.0</v>
      </c>
      <c r="C436" s="3" t="s">
        <v>11</v>
      </c>
      <c r="D436" s="4">
        <v>58.63</v>
      </c>
      <c r="E436" s="4">
        <v>1.55</v>
      </c>
      <c r="F436" s="3" t="s">
        <v>12</v>
      </c>
      <c r="G436" s="3" t="s">
        <v>15</v>
      </c>
      <c r="H436" s="5">
        <f t="shared" si="15"/>
        <v>24.4037461</v>
      </c>
      <c r="I436" s="5">
        <f t="array" ref="I436">XLOOKUP(A436,protein_data!A:A,protein_data!B:B,"")</f>
        <v>90</v>
      </c>
      <c r="J436" s="5" t="str">
        <f t="shared" si="16"/>
        <v>Responder</v>
      </c>
    </row>
    <row r="437" ht="22.5" customHeight="1">
      <c r="A437" s="3" t="s">
        <v>452</v>
      </c>
      <c r="B437" s="4">
        <v>62.0</v>
      </c>
      <c r="C437" s="3" t="s">
        <v>11</v>
      </c>
      <c r="D437" s="4">
        <v>107.69</v>
      </c>
      <c r="E437" s="4">
        <v>1.59</v>
      </c>
      <c r="F437" s="3" t="s">
        <v>17</v>
      </c>
      <c r="G437" s="3" t="s">
        <v>13</v>
      </c>
      <c r="H437" s="5">
        <f t="shared" si="15"/>
        <v>42.59720739</v>
      </c>
      <c r="I437" s="5">
        <f t="array" ref="I437">XLOOKUP(A437,protein_data!A:A,protein_data!B:B,"")</f>
        <v>141</v>
      </c>
      <c r="J437" s="5" t="str">
        <f t="shared" si="16"/>
        <v>Non-Responder</v>
      </c>
    </row>
    <row r="438" ht="22.5" customHeight="1">
      <c r="A438" s="3" t="s">
        <v>453</v>
      </c>
      <c r="B438" s="4">
        <v>59.0</v>
      </c>
      <c r="C438" s="3" t="s">
        <v>21</v>
      </c>
      <c r="D438" s="4">
        <v>123.9</v>
      </c>
      <c r="E438" s="4">
        <v>1.83</v>
      </c>
      <c r="F438" s="3" t="s">
        <v>17</v>
      </c>
      <c r="G438" s="3" t="s">
        <v>13</v>
      </c>
      <c r="H438" s="5">
        <f t="shared" si="15"/>
        <v>36.99722297</v>
      </c>
      <c r="I438" s="5">
        <f t="array" ref="I438">XLOOKUP(A438,protein_data!A:A,protein_data!B:B,"")</f>
        <v>140</v>
      </c>
      <c r="J438" s="5" t="str">
        <f t="shared" si="16"/>
        <v>Non-Responder</v>
      </c>
    </row>
    <row r="439" ht="22.5" customHeight="1">
      <c r="A439" s="3" t="s">
        <v>454</v>
      </c>
      <c r="B439" s="4">
        <v>74.0</v>
      </c>
      <c r="C439" s="3" t="s">
        <v>21</v>
      </c>
      <c r="D439" s="4">
        <v>101.19</v>
      </c>
      <c r="E439" s="4">
        <v>1.85</v>
      </c>
      <c r="F439" s="3" t="s">
        <v>12</v>
      </c>
      <c r="G439" s="3" t="s">
        <v>13</v>
      </c>
      <c r="H439" s="5">
        <f t="shared" si="15"/>
        <v>29.56610665</v>
      </c>
      <c r="I439" s="5">
        <f t="array" ref="I439">XLOOKUP(A439,protein_data!A:A,protein_data!B:B,"")</f>
        <v>147</v>
      </c>
      <c r="J439" s="5" t="str">
        <f t="shared" si="16"/>
        <v>Non-Responder</v>
      </c>
    </row>
    <row r="440" ht="22.5" customHeight="1">
      <c r="A440" s="3" t="s">
        <v>455</v>
      </c>
      <c r="B440" s="4">
        <v>73.0</v>
      </c>
      <c r="C440" s="3" t="s">
        <v>21</v>
      </c>
      <c r="D440" s="4">
        <v>64.21</v>
      </c>
      <c r="E440" s="4">
        <v>1.89</v>
      </c>
      <c r="F440" s="3" t="s">
        <v>12</v>
      </c>
      <c r="G440" s="3" t="s">
        <v>15</v>
      </c>
      <c r="H440" s="5">
        <f t="shared" si="15"/>
        <v>17.97542062</v>
      </c>
      <c r="I440" s="5">
        <f t="array" ref="I440">XLOOKUP(A440,protein_data!A:A,protein_data!B:B,"")</f>
        <v>97</v>
      </c>
      <c r="J440" s="5" t="str">
        <f t="shared" si="16"/>
        <v>Responder</v>
      </c>
    </row>
    <row r="441" ht="22.5" customHeight="1">
      <c r="A441" s="3" t="s">
        <v>456</v>
      </c>
      <c r="B441" s="4">
        <v>59.0</v>
      </c>
      <c r="C441" s="3" t="s">
        <v>11</v>
      </c>
      <c r="D441" s="4">
        <v>97.0</v>
      </c>
      <c r="E441" s="4">
        <v>1.62</v>
      </c>
      <c r="F441" s="3" t="s">
        <v>17</v>
      </c>
      <c r="G441" s="3" t="s">
        <v>15</v>
      </c>
      <c r="H441" s="5">
        <f t="shared" si="15"/>
        <v>36.96082914</v>
      </c>
      <c r="I441" s="5">
        <f t="array" ref="I441">XLOOKUP(A441,protein_data!A:A,protein_data!B:B,"")</f>
        <v>107</v>
      </c>
      <c r="J441" s="5" t="str">
        <f t="shared" si="16"/>
        <v>Responder</v>
      </c>
    </row>
    <row r="442" ht="22.5" customHeight="1">
      <c r="A442" s="3" t="s">
        <v>457</v>
      </c>
      <c r="B442" s="4">
        <v>65.0</v>
      </c>
      <c r="C442" s="3" t="s">
        <v>11</v>
      </c>
      <c r="D442" s="4">
        <v>82.42</v>
      </c>
      <c r="E442" s="4">
        <v>1.55</v>
      </c>
      <c r="F442" s="3" t="s">
        <v>17</v>
      </c>
      <c r="G442" s="3" t="s">
        <v>13</v>
      </c>
      <c r="H442" s="5">
        <f t="shared" si="15"/>
        <v>34.30593132</v>
      </c>
      <c r="I442" s="5">
        <f t="array" ref="I442">XLOOKUP(A442,protein_data!A:A,protein_data!B:B,"")</f>
        <v>189</v>
      </c>
      <c r="J442" s="5" t="str">
        <f t="shared" si="16"/>
        <v>Non-Responder</v>
      </c>
    </row>
    <row r="443" ht="22.5" customHeight="1">
      <c r="A443" s="3" t="s">
        <v>458</v>
      </c>
      <c r="B443" s="4">
        <v>66.0</v>
      </c>
      <c r="C443" s="3" t="s">
        <v>11</v>
      </c>
      <c r="D443" s="4">
        <v>85.62</v>
      </c>
      <c r="E443" s="4">
        <v>1.63</v>
      </c>
      <c r="F443" s="3" t="s">
        <v>12</v>
      </c>
      <c r="G443" s="3" t="s">
        <v>15</v>
      </c>
      <c r="H443" s="5">
        <f t="shared" si="15"/>
        <v>32.22552599</v>
      </c>
      <c r="I443" s="5">
        <f t="array" ref="I443">XLOOKUP(A443,protein_data!A:A,protein_data!B:B,"")</f>
        <v>83</v>
      </c>
      <c r="J443" s="5" t="str">
        <f t="shared" si="16"/>
        <v>Responder</v>
      </c>
    </row>
    <row r="444" ht="22.5" customHeight="1">
      <c r="A444" s="3" t="s">
        <v>459</v>
      </c>
      <c r="B444" s="4">
        <v>63.0</v>
      </c>
      <c r="C444" s="3" t="s">
        <v>11</v>
      </c>
      <c r="D444" s="4">
        <v>88.99</v>
      </c>
      <c r="E444" s="4">
        <v>1.64</v>
      </c>
      <c r="F444" s="3" t="s">
        <v>17</v>
      </c>
      <c r="G444" s="3" t="s">
        <v>15</v>
      </c>
      <c r="H444" s="5">
        <f t="shared" si="15"/>
        <v>33.08670434</v>
      </c>
      <c r="I444" s="5">
        <f t="array" ref="I444">XLOOKUP(A444,protein_data!A:A,protein_data!B:B,"")</f>
        <v>117</v>
      </c>
      <c r="J444" s="5" t="str">
        <f t="shared" si="16"/>
        <v>Responder</v>
      </c>
    </row>
    <row r="445" ht="22.5" customHeight="1">
      <c r="A445" s="3" t="s">
        <v>460</v>
      </c>
      <c r="B445" s="4">
        <v>58.0</v>
      </c>
      <c r="C445" s="3" t="s">
        <v>21</v>
      </c>
      <c r="D445" s="4">
        <v>91.97</v>
      </c>
      <c r="E445" s="4">
        <v>1.74</v>
      </c>
      <c r="F445" s="3" t="s">
        <v>17</v>
      </c>
      <c r="G445" s="3" t="s">
        <v>13</v>
      </c>
      <c r="H445" s="5">
        <f t="shared" si="15"/>
        <v>30.37719646</v>
      </c>
      <c r="I445" s="5">
        <f t="array" ref="I445">XLOOKUP(A445,protein_data!A:A,protein_data!B:B,"")</f>
        <v>108</v>
      </c>
      <c r="J445" s="5" t="str">
        <f t="shared" si="16"/>
        <v>Non-Responder</v>
      </c>
    </row>
    <row r="446" ht="22.5" customHeight="1">
      <c r="A446" s="3" t="s">
        <v>461</v>
      </c>
      <c r="B446" s="4">
        <v>54.0</v>
      </c>
      <c r="C446" s="3" t="s">
        <v>21</v>
      </c>
      <c r="D446" s="4">
        <v>97.77</v>
      </c>
      <c r="E446" s="4">
        <v>1.82</v>
      </c>
      <c r="F446" s="3" t="s">
        <v>12</v>
      </c>
      <c r="G446" s="3" t="s">
        <v>13</v>
      </c>
      <c r="H446" s="5">
        <f t="shared" si="15"/>
        <v>29.51636276</v>
      </c>
      <c r="I446" s="5">
        <f t="array" ref="I446">XLOOKUP(A446,protein_data!A:A,protein_data!B:B,"")</f>
        <v>117</v>
      </c>
      <c r="J446" s="5" t="str">
        <f t="shared" si="16"/>
        <v>Non-Responder</v>
      </c>
    </row>
    <row r="447" ht="22.5" customHeight="1">
      <c r="A447" s="3" t="s">
        <v>462</v>
      </c>
      <c r="B447" s="4">
        <v>63.0</v>
      </c>
      <c r="C447" s="3" t="s">
        <v>21</v>
      </c>
      <c r="D447" s="4">
        <v>179.02</v>
      </c>
      <c r="E447" s="4">
        <v>1.74</v>
      </c>
      <c r="F447" s="3" t="s">
        <v>17</v>
      </c>
      <c r="G447" s="3" t="s">
        <v>15</v>
      </c>
      <c r="H447" s="5">
        <f t="shared" si="15"/>
        <v>59.12934337</v>
      </c>
      <c r="I447" s="5">
        <f t="array" ref="I447">XLOOKUP(A447,protein_data!A:A,protein_data!B:B,"")</f>
        <v>180</v>
      </c>
      <c r="J447" s="5" t="str">
        <f t="shared" si="16"/>
        <v>Responder</v>
      </c>
    </row>
    <row r="448" ht="22.5" customHeight="1">
      <c r="A448" s="3" t="s">
        <v>463</v>
      </c>
      <c r="B448" s="4">
        <v>57.0</v>
      </c>
      <c r="C448" s="3" t="s">
        <v>11</v>
      </c>
      <c r="D448" s="4">
        <v>60.0</v>
      </c>
      <c r="E448" s="4">
        <v>1.54</v>
      </c>
      <c r="F448" s="3" t="s">
        <v>17</v>
      </c>
      <c r="G448" s="3" t="s">
        <v>13</v>
      </c>
      <c r="H448" s="5">
        <f t="shared" si="15"/>
        <v>25.29937595</v>
      </c>
      <c r="I448" s="5">
        <f t="array" ref="I448">XLOOKUP(A448,protein_data!A:A,protein_data!B:B,"")</f>
        <v>100</v>
      </c>
      <c r="J448" s="5" t="str">
        <f t="shared" si="16"/>
        <v>Non-Responder</v>
      </c>
    </row>
    <row r="449" ht="22.5" customHeight="1">
      <c r="A449" s="3" t="s">
        <v>464</v>
      </c>
      <c r="B449" s="4">
        <v>63.0</v>
      </c>
      <c r="C449" s="3" t="s">
        <v>21</v>
      </c>
      <c r="D449" s="4">
        <v>111.33</v>
      </c>
      <c r="E449" s="4">
        <v>1.75</v>
      </c>
      <c r="F449" s="3" t="s">
        <v>12</v>
      </c>
      <c r="G449" s="3" t="s">
        <v>15</v>
      </c>
      <c r="H449" s="5">
        <f t="shared" si="15"/>
        <v>36.35265306</v>
      </c>
      <c r="I449" s="5">
        <f t="array" ref="I449">XLOOKUP(A449,protein_data!A:A,protein_data!B:B,"")</f>
        <v>95</v>
      </c>
      <c r="J449" s="5" t="str">
        <f t="shared" si="16"/>
        <v>Responder</v>
      </c>
    </row>
    <row r="450" ht="22.5" customHeight="1">
      <c r="A450" s="3" t="s">
        <v>465</v>
      </c>
      <c r="B450" s="4">
        <v>69.0</v>
      </c>
      <c r="C450" s="3" t="s">
        <v>11</v>
      </c>
      <c r="D450" s="4">
        <v>94.83</v>
      </c>
      <c r="E450" s="4">
        <v>1.68</v>
      </c>
      <c r="F450" s="3" t="s">
        <v>12</v>
      </c>
      <c r="G450" s="3" t="s">
        <v>15</v>
      </c>
      <c r="H450" s="5">
        <f t="shared" si="15"/>
        <v>33.59906463</v>
      </c>
      <c r="I450" s="5">
        <f t="array" ref="I450">XLOOKUP(A450,protein_data!A:A,protein_data!B:B,"")</f>
        <v>104</v>
      </c>
      <c r="J450" s="5" t="str">
        <f t="shared" si="16"/>
        <v>Responder</v>
      </c>
    </row>
    <row r="451" ht="22.5" customHeight="1">
      <c r="A451" s="3" t="s">
        <v>466</v>
      </c>
      <c r="B451" s="4">
        <v>52.0</v>
      </c>
      <c r="C451" s="3" t="s">
        <v>11</v>
      </c>
      <c r="D451" s="4">
        <v>81.78</v>
      </c>
      <c r="E451" s="4">
        <v>1.64</v>
      </c>
      <c r="F451" s="3" t="s">
        <v>12</v>
      </c>
      <c r="G451" s="3" t="s">
        <v>13</v>
      </c>
      <c r="H451" s="5">
        <f t="shared" si="15"/>
        <v>30.40600833</v>
      </c>
      <c r="I451" s="5">
        <f t="array" ref="I451">XLOOKUP(A451,protein_data!A:A,protein_data!B:B,"")</f>
        <v>120</v>
      </c>
      <c r="J451" s="5" t="str">
        <f t="shared" si="16"/>
        <v>Non-Responder</v>
      </c>
    </row>
    <row r="452" ht="22.5" customHeight="1">
      <c r="A452" s="3" t="s">
        <v>467</v>
      </c>
      <c r="B452" s="4">
        <v>48.0</v>
      </c>
      <c r="C452" s="3" t="s">
        <v>21</v>
      </c>
      <c r="D452" s="4">
        <v>54.32</v>
      </c>
      <c r="E452" s="4">
        <v>1.61</v>
      </c>
      <c r="F452" s="3" t="s">
        <v>12</v>
      </c>
      <c r="G452" s="3" t="s">
        <v>15</v>
      </c>
      <c r="H452" s="5">
        <f t="shared" si="15"/>
        <v>20.95598164</v>
      </c>
      <c r="I452" s="5">
        <f t="array" ref="I452">XLOOKUP(A452,protein_data!A:A,protein_data!B:B,"")</f>
        <v>82</v>
      </c>
      <c r="J452" s="5" t="str">
        <f t="shared" si="16"/>
        <v>Responder</v>
      </c>
    </row>
    <row r="453" ht="22.5" customHeight="1">
      <c r="A453" s="3" t="s">
        <v>468</v>
      </c>
      <c r="B453" s="4">
        <v>54.0</v>
      </c>
      <c r="C453" s="3" t="s">
        <v>11</v>
      </c>
      <c r="D453" s="4">
        <v>64.35</v>
      </c>
      <c r="E453" s="4">
        <v>1.49</v>
      </c>
      <c r="F453" s="3" t="s">
        <v>17</v>
      </c>
      <c r="G453" s="3" t="s">
        <v>13</v>
      </c>
      <c r="H453" s="5">
        <f t="shared" si="15"/>
        <v>28.98518085</v>
      </c>
      <c r="I453" s="5">
        <f t="array" ref="I453">XLOOKUP(A453,protein_data!A:A,protein_data!B:B,"")</f>
        <v>134</v>
      </c>
      <c r="J453" s="5" t="str">
        <f t="shared" si="16"/>
        <v>Non-Responder</v>
      </c>
    </row>
    <row r="454" ht="22.5" customHeight="1">
      <c r="A454" s="3" t="s">
        <v>469</v>
      </c>
      <c r="B454" s="4">
        <v>68.0</v>
      </c>
      <c r="C454" s="3" t="s">
        <v>21</v>
      </c>
      <c r="D454" s="4">
        <v>131.41</v>
      </c>
      <c r="E454" s="4">
        <v>1.82</v>
      </c>
      <c r="F454" s="3" t="s">
        <v>17</v>
      </c>
      <c r="G454" s="3" t="s">
        <v>15</v>
      </c>
      <c r="H454" s="5">
        <f t="shared" si="15"/>
        <v>39.67214105</v>
      </c>
      <c r="I454" s="5">
        <f t="array" ref="I454">XLOOKUP(A454,protein_data!A:A,protein_data!B:B,"")</f>
        <v>91</v>
      </c>
      <c r="J454" s="5" t="str">
        <f t="shared" si="16"/>
        <v>Responder</v>
      </c>
    </row>
    <row r="455" ht="22.5" customHeight="1">
      <c r="A455" s="3" t="s">
        <v>470</v>
      </c>
      <c r="B455" s="4">
        <v>69.0</v>
      </c>
      <c r="C455" s="3" t="s">
        <v>21</v>
      </c>
      <c r="D455" s="4">
        <v>56.41</v>
      </c>
      <c r="E455" s="4">
        <v>1.7</v>
      </c>
      <c r="F455" s="3" t="s">
        <v>17</v>
      </c>
      <c r="G455" s="3" t="s">
        <v>13</v>
      </c>
      <c r="H455" s="5">
        <f t="shared" si="15"/>
        <v>19.51903114</v>
      </c>
      <c r="I455" s="5">
        <f t="array" ref="I455">XLOOKUP(A455,protein_data!A:A,protein_data!B:B,"")</f>
        <v>119</v>
      </c>
      <c r="J455" s="5" t="str">
        <f t="shared" si="16"/>
        <v>Non-Responder</v>
      </c>
    </row>
    <row r="456" ht="22.5" customHeight="1">
      <c r="A456" s="3" t="s">
        <v>471</v>
      </c>
      <c r="B456" s="4">
        <v>71.0</v>
      </c>
      <c r="C456" s="3" t="s">
        <v>21</v>
      </c>
      <c r="D456" s="4">
        <v>117.17</v>
      </c>
      <c r="E456" s="4">
        <v>1.77</v>
      </c>
      <c r="F456" s="3" t="s">
        <v>12</v>
      </c>
      <c r="G456" s="3" t="s">
        <v>15</v>
      </c>
      <c r="H456" s="5">
        <f t="shared" si="15"/>
        <v>37.39985317</v>
      </c>
      <c r="I456" s="5">
        <f t="array" ref="I456">XLOOKUP(A456,protein_data!A:A,protein_data!B:B,"")</f>
        <v>100</v>
      </c>
      <c r="J456" s="5" t="str">
        <f t="shared" si="16"/>
        <v>Responder</v>
      </c>
    </row>
    <row r="457" ht="22.5" customHeight="1">
      <c r="A457" s="3" t="s">
        <v>472</v>
      </c>
      <c r="B457" s="4">
        <v>49.0</v>
      </c>
      <c r="C457" s="3" t="s">
        <v>21</v>
      </c>
      <c r="D457" s="4">
        <v>98.22</v>
      </c>
      <c r="E457" s="4">
        <v>1.72</v>
      </c>
      <c r="F457" s="3" t="s">
        <v>12</v>
      </c>
      <c r="G457" s="3" t="s">
        <v>13</v>
      </c>
      <c r="H457" s="5">
        <f t="shared" si="15"/>
        <v>33.20037858</v>
      </c>
      <c r="I457" s="5">
        <f t="array" ref="I457">XLOOKUP(A457,protein_data!A:A,protein_data!B:B,"")</f>
        <v>175</v>
      </c>
      <c r="J457" s="5" t="str">
        <f t="shared" si="16"/>
        <v>Non-Responder</v>
      </c>
    </row>
    <row r="458" ht="22.5" customHeight="1">
      <c r="A458" s="3" t="s">
        <v>473</v>
      </c>
      <c r="B458" s="4">
        <v>58.0</v>
      </c>
      <c r="C458" s="3" t="s">
        <v>21</v>
      </c>
      <c r="D458" s="4">
        <v>84.73</v>
      </c>
      <c r="E458" s="4">
        <v>1.79</v>
      </c>
      <c r="F458" s="3" t="s">
        <v>12</v>
      </c>
      <c r="G458" s="3" t="s">
        <v>15</v>
      </c>
      <c r="H458" s="5">
        <f t="shared" si="15"/>
        <v>26.44424331</v>
      </c>
      <c r="I458" s="5">
        <f t="array" ref="I458">XLOOKUP(A458,protein_data!A:A,protein_data!B:B,"")</f>
        <v>135</v>
      </c>
      <c r="J458" s="5" t="str">
        <f t="shared" si="16"/>
        <v>Responder</v>
      </c>
    </row>
    <row r="459" ht="22.5" customHeight="1">
      <c r="A459" s="3" t="s">
        <v>474</v>
      </c>
      <c r="B459" s="4">
        <v>69.0</v>
      </c>
      <c r="C459" s="3" t="s">
        <v>21</v>
      </c>
      <c r="D459" s="4">
        <v>95.25</v>
      </c>
      <c r="E459" s="4">
        <v>1.78</v>
      </c>
      <c r="F459" s="3" t="s">
        <v>12</v>
      </c>
      <c r="G459" s="3" t="s">
        <v>15</v>
      </c>
      <c r="H459" s="5">
        <f t="shared" si="15"/>
        <v>30.06249211</v>
      </c>
      <c r="I459" s="5">
        <f t="array" ref="I459">XLOOKUP(A459,protein_data!A:A,protein_data!B:B,"")</f>
        <v>86</v>
      </c>
      <c r="J459" s="5" t="str">
        <f t="shared" si="16"/>
        <v>Responder</v>
      </c>
    </row>
    <row r="460" ht="22.5" customHeight="1">
      <c r="A460" s="3" t="s">
        <v>475</v>
      </c>
      <c r="B460" s="4">
        <v>60.0</v>
      </c>
      <c r="C460" s="3" t="s">
        <v>11</v>
      </c>
      <c r="D460" s="4">
        <v>102.63</v>
      </c>
      <c r="E460" s="4">
        <v>1.65</v>
      </c>
      <c r="F460" s="3" t="s">
        <v>12</v>
      </c>
      <c r="G460" s="3" t="s">
        <v>13</v>
      </c>
      <c r="H460" s="5">
        <f t="shared" si="15"/>
        <v>37.6969697</v>
      </c>
      <c r="I460" s="5">
        <f t="array" ref="I460">XLOOKUP(A460,protein_data!A:A,protein_data!B:B,"")</f>
        <v>148</v>
      </c>
      <c r="J460" s="5" t="str">
        <f t="shared" si="16"/>
        <v>Non-Responder</v>
      </c>
    </row>
    <row r="461" ht="22.5" customHeight="1">
      <c r="A461" s="3" t="s">
        <v>476</v>
      </c>
      <c r="B461" s="4">
        <v>49.0</v>
      </c>
      <c r="C461" s="3" t="s">
        <v>11</v>
      </c>
      <c r="D461" s="4">
        <v>59.29</v>
      </c>
      <c r="E461" s="4">
        <v>1.51</v>
      </c>
      <c r="F461" s="3" t="s">
        <v>17</v>
      </c>
      <c r="G461" s="3" t="s">
        <v>15</v>
      </c>
      <c r="H461" s="5">
        <f t="shared" si="15"/>
        <v>26.00324547</v>
      </c>
      <c r="I461" s="5">
        <f t="array" ref="I461">XLOOKUP(A461,protein_data!A:A,protein_data!B:B,"")</f>
        <v>134</v>
      </c>
      <c r="J461" s="5" t="str">
        <f t="shared" si="16"/>
        <v>Responder</v>
      </c>
    </row>
    <row r="462" ht="22.5" customHeight="1">
      <c r="A462" s="3" t="s">
        <v>477</v>
      </c>
      <c r="B462" s="4">
        <v>58.0</v>
      </c>
      <c r="C462" s="3" t="s">
        <v>11</v>
      </c>
      <c r="D462" s="4">
        <v>46.17</v>
      </c>
      <c r="E462" s="4">
        <v>1.49</v>
      </c>
      <c r="F462" s="3" t="s">
        <v>12</v>
      </c>
      <c r="G462" s="3" t="s">
        <v>15</v>
      </c>
      <c r="H462" s="5">
        <f t="shared" si="15"/>
        <v>20.79636052</v>
      </c>
      <c r="I462" s="5">
        <f t="array" ref="I462">XLOOKUP(A462,protein_data!A:A,protein_data!B:B,"")</f>
        <v>120</v>
      </c>
      <c r="J462" s="5" t="str">
        <f t="shared" si="16"/>
        <v>Responder</v>
      </c>
    </row>
    <row r="463" ht="22.5" customHeight="1">
      <c r="A463" s="3" t="s">
        <v>478</v>
      </c>
      <c r="B463" s="4">
        <v>67.0</v>
      </c>
      <c r="C463" s="3" t="s">
        <v>11</v>
      </c>
      <c r="D463" s="4">
        <v>59.92</v>
      </c>
      <c r="E463" s="4">
        <v>1.66</v>
      </c>
      <c r="F463" s="3" t="s">
        <v>12</v>
      </c>
      <c r="G463" s="3" t="s">
        <v>15</v>
      </c>
      <c r="H463" s="5">
        <f t="shared" si="15"/>
        <v>21.74481057</v>
      </c>
      <c r="I463" s="5">
        <f t="array" ref="I463">XLOOKUP(A463,protein_data!A:A,protein_data!B:B,"")</f>
        <v>71</v>
      </c>
      <c r="J463" s="5" t="str">
        <f t="shared" si="16"/>
        <v>Responder</v>
      </c>
    </row>
    <row r="464" ht="22.5" customHeight="1">
      <c r="A464" s="3" t="s">
        <v>479</v>
      </c>
      <c r="B464" s="4">
        <v>56.0</v>
      </c>
      <c r="C464" s="3" t="s">
        <v>11</v>
      </c>
      <c r="D464" s="4">
        <v>84.22</v>
      </c>
      <c r="E464" s="4">
        <v>1.54</v>
      </c>
      <c r="F464" s="3" t="s">
        <v>12</v>
      </c>
      <c r="G464" s="3" t="s">
        <v>15</v>
      </c>
      <c r="H464" s="5">
        <f t="shared" si="15"/>
        <v>35.51189071</v>
      </c>
      <c r="I464" s="5">
        <f t="array" ref="I464">XLOOKUP(A464,protein_data!A:A,protein_data!B:B,"")</f>
        <v>74</v>
      </c>
      <c r="J464" s="5" t="str">
        <f t="shared" si="16"/>
        <v>Responder</v>
      </c>
    </row>
    <row r="465" ht="22.5" customHeight="1">
      <c r="A465" s="3" t="s">
        <v>480</v>
      </c>
      <c r="B465" s="4">
        <v>64.0</v>
      </c>
      <c r="C465" s="3" t="s">
        <v>21</v>
      </c>
      <c r="D465" s="4">
        <v>90.77</v>
      </c>
      <c r="E465" s="4">
        <v>1.82</v>
      </c>
      <c r="F465" s="3" t="s">
        <v>17</v>
      </c>
      <c r="G465" s="3" t="s">
        <v>15</v>
      </c>
      <c r="H465" s="5">
        <f t="shared" si="15"/>
        <v>27.40309141</v>
      </c>
      <c r="I465" s="5">
        <f t="array" ref="I465">XLOOKUP(A465,protein_data!A:A,protein_data!B:B,"")</f>
        <v>88</v>
      </c>
      <c r="J465" s="5" t="str">
        <f t="shared" si="16"/>
        <v>Responder</v>
      </c>
    </row>
    <row r="466" ht="22.5" customHeight="1">
      <c r="A466" s="3" t="s">
        <v>481</v>
      </c>
      <c r="B466" s="4">
        <v>67.0</v>
      </c>
      <c r="C466" s="3" t="s">
        <v>11</v>
      </c>
      <c r="D466" s="4">
        <v>62.6</v>
      </c>
      <c r="E466" s="4">
        <v>1.62</v>
      </c>
      <c r="F466" s="3" t="s">
        <v>12</v>
      </c>
      <c r="G466" s="3" t="s">
        <v>15</v>
      </c>
      <c r="H466" s="5">
        <f t="shared" si="15"/>
        <v>23.85307118</v>
      </c>
      <c r="I466" s="5">
        <f t="array" ref="I466">XLOOKUP(A466,protein_data!A:A,protein_data!B:B,"")</f>
        <v>115</v>
      </c>
      <c r="J466" s="5" t="str">
        <f t="shared" si="16"/>
        <v>Responder</v>
      </c>
    </row>
    <row r="467" ht="22.5" customHeight="1">
      <c r="A467" s="3" t="s">
        <v>482</v>
      </c>
      <c r="B467" s="4">
        <v>55.0</v>
      </c>
      <c r="C467" s="3" t="s">
        <v>21</v>
      </c>
      <c r="D467" s="4">
        <v>74.8</v>
      </c>
      <c r="E467" s="4">
        <v>1.86</v>
      </c>
      <c r="F467" s="3" t="s">
        <v>17</v>
      </c>
      <c r="G467" s="3" t="s">
        <v>13</v>
      </c>
      <c r="H467" s="5">
        <f t="shared" si="15"/>
        <v>21.62099665</v>
      </c>
      <c r="I467" s="5">
        <f t="array" ref="I467">XLOOKUP(A467,protein_data!A:A,protein_data!B:B,"")</f>
        <v>124</v>
      </c>
      <c r="J467" s="5" t="str">
        <f t="shared" si="16"/>
        <v>Non-Responder</v>
      </c>
    </row>
    <row r="468" ht="22.5" customHeight="1">
      <c r="A468" s="3" t="s">
        <v>483</v>
      </c>
      <c r="B468" s="4">
        <v>60.0</v>
      </c>
      <c r="C468" s="3" t="s">
        <v>11</v>
      </c>
      <c r="D468" s="4">
        <v>73.09</v>
      </c>
      <c r="E468" s="4">
        <v>1.62</v>
      </c>
      <c r="F468" s="3" t="s">
        <v>12</v>
      </c>
      <c r="G468" s="3" t="s">
        <v>15</v>
      </c>
      <c r="H468" s="5">
        <f t="shared" si="15"/>
        <v>27.85017528</v>
      </c>
      <c r="I468" s="5">
        <f t="array" ref="I468">XLOOKUP(A468,protein_data!A:A,protein_data!B:B,"")</f>
        <v>74</v>
      </c>
      <c r="J468" s="5" t="str">
        <f t="shared" si="16"/>
        <v>Responder</v>
      </c>
    </row>
    <row r="469" ht="22.5" customHeight="1">
      <c r="A469" s="3" t="s">
        <v>484</v>
      </c>
      <c r="B469" s="4">
        <v>63.0</v>
      </c>
      <c r="C469" s="3" t="s">
        <v>21</v>
      </c>
      <c r="D469" s="4">
        <v>108.8</v>
      </c>
      <c r="E469" s="4">
        <v>1.73</v>
      </c>
      <c r="F469" s="3" t="s">
        <v>17</v>
      </c>
      <c r="G469" s="3" t="s">
        <v>15</v>
      </c>
      <c r="H469" s="5">
        <f t="shared" si="15"/>
        <v>36.35270139</v>
      </c>
      <c r="I469" s="5">
        <f t="array" ref="I469">XLOOKUP(A469,protein_data!A:A,protein_data!B:B,"")</f>
        <v>97</v>
      </c>
      <c r="J469" s="5" t="str">
        <f t="shared" si="16"/>
        <v>Responder</v>
      </c>
    </row>
    <row r="470" ht="22.5" customHeight="1">
      <c r="A470" s="3" t="s">
        <v>485</v>
      </c>
      <c r="B470" s="4">
        <v>67.0</v>
      </c>
      <c r="C470" s="3" t="s">
        <v>21</v>
      </c>
      <c r="D470" s="4">
        <v>83.16</v>
      </c>
      <c r="E470" s="4">
        <v>1.67</v>
      </c>
      <c r="F470" s="3" t="s">
        <v>17</v>
      </c>
      <c r="G470" s="3" t="s">
        <v>13</v>
      </c>
      <c r="H470" s="5">
        <f t="shared" si="15"/>
        <v>29.8182079</v>
      </c>
      <c r="I470" s="5">
        <f t="array" ref="I470">XLOOKUP(A470,protein_data!A:A,protein_data!B:B,"")</f>
        <v>120</v>
      </c>
      <c r="J470" s="5" t="str">
        <f t="shared" si="16"/>
        <v>Non-Responder</v>
      </c>
    </row>
    <row r="471" ht="22.5" customHeight="1">
      <c r="A471" s="3" t="s">
        <v>486</v>
      </c>
      <c r="B471" s="4">
        <v>61.0</v>
      </c>
      <c r="C471" s="3" t="s">
        <v>21</v>
      </c>
      <c r="D471" s="4">
        <v>146.35</v>
      </c>
      <c r="E471" s="4">
        <v>1.79</v>
      </c>
      <c r="F471" s="3" t="s">
        <v>12</v>
      </c>
      <c r="G471" s="3" t="s">
        <v>15</v>
      </c>
      <c r="H471" s="5">
        <f t="shared" si="15"/>
        <v>45.67585281</v>
      </c>
      <c r="I471" s="5">
        <f t="array" ref="I471">XLOOKUP(A471,protein_data!A:A,protein_data!B:B,"")</f>
        <v>154</v>
      </c>
      <c r="J471" s="5" t="str">
        <f t="shared" si="16"/>
        <v>Responder</v>
      </c>
    </row>
    <row r="472" ht="22.5" customHeight="1">
      <c r="A472" s="3" t="s">
        <v>487</v>
      </c>
      <c r="B472" s="4">
        <v>52.0</v>
      </c>
      <c r="C472" s="3" t="s">
        <v>11</v>
      </c>
      <c r="D472" s="4">
        <v>110.26</v>
      </c>
      <c r="E472" s="4">
        <v>1.63</v>
      </c>
      <c r="F472" s="3" t="s">
        <v>17</v>
      </c>
      <c r="G472" s="3" t="s">
        <v>13</v>
      </c>
      <c r="H472" s="5">
        <f t="shared" si="15"/>
        <v>41.49949189</v>
      </c>
      <c r="I472" s="5">
        <f t="array" ref="I472">XLOOKUP(A472,protein_data!A:A,protein_data!B:B,"")</f>
        <v>144</v>
      </c>
      <c r="J472" s="5" t="str">
        <f t="shared" si="16"/>
        <v>Non-Responder</v>
      </c>
    </row>
    <row r="473" ht="22.5" customHeight="1">
      <c r="A473" s="3" t="s">
        <v>488</v>
      </c>
      <c r="B473" s="4">
        <v>69.0</v>
      </c>
      <c r="C473" s="3" t="s">
        <v>21</v>
      </c>
      <c r="D473" s="4">
        <v>113.73</v>
      </c>
      <c r="E473" s="4">
        <v>1.86</v>
      </c>
      <c r="F473" s="3" t="s">
        <v>12</v>
      </c>
      <c r="G473" s="3" t="s">
        <v>13</v>
      </c>
      <c r="H473" s="5">
        <f t="shared" si="15"/>
        <v>32.87374263</v>
      </c>
      <c r="I473" s="5">
        <f t="array" ref="I473">XLOOKUP(A473,protein_data!A:A,protein_data!B:B,"")</f>
        <v>137</v>
      </c>
      <c r="J473" s="5" t="str">
        <f t="shared" si="16"/>
        <v>Non-Responder</v>
      </c>
    </row>
    <row r="474" ht="22.5" customHeight="1">
      <c r="A474" s="3" t="s">
        <v>489</v>
      </c>
      <c r="B474" s="4">
        <v>69.0</v>
      </c>
      <c r="C474" s="3" t="s">
        <v>11</v>
      </c>
      <c r="D474" s="4">
        <v>101.71</v>
      </c>
      <c r="E474" s="4">
        <v>1.62</v>
      </c>
      <c r="F474" s="3" t="s">
        <v>12</v>
      </c>
      <c r="G474" s="3" t="s">
        <v>15</v>
      </c>
      <c r="H474" s="5">
        <f t="shared" si="15"/>
        <v>38.75552507</v>
      </c>
      <c r="I474" s="5">
        <f t="array" ref="I474">XLOOKUP(A474,protein_data!A:A,protein_data!B:B,"")</f>
        <v>119</v>
      </c>
      <c r="J474" s="5" t="str">
        <f t="shared" si="16"/>
        <v>Responder</v>
      </c>
    </row>
    <row r="475" ht="22.5" customHeight="1">
      <c r="A475" s="3" t="s">
        <v>490</v>
      </c>
      <c r="B475" s="4">
        <v>65.0</v>
      </c>
      <c r="C475" s="3" t="s">
        <v>11</v>
      </c>
      <c r="D475" s="4">
        <v>70.82</v>
      </c>
      <c r="E475" s="4">
        <v>1.54</v>
      </c>
      <c r="F475" s="3" t="s">
        <v>17</v>
      </c>
      <c r="G475" s="3" t="s">
        <v>13</v>
      </c>
      <c r="H475" s="5">
        <f t="shared" si="15"/>
        <v>29.86169674</v>
      </c>
      <c r="I475" s="5">
        <f t="array" ref="I475">XLOOKUP(A475,protein_data!A:A,protein_data!B:B,"")</f>
        <v>136</v>
      </c>
      <c r="J475" s="5" t="str">
        <f t="shared" si="16"/>
        <v>Non-Responder</v>
      </c>
    </row>
    <row r="476" ht="22.5" customHeight="1">
      <c r="A476" s="3" t="s">
        <v>491</v>
      </c>
      <c r="B476" s="4">
        <v>60.0</v>
      </c>
      <c r="C476" s="3" t="s">
        <v>11</v>
      </c>
      <c r="D476" s="4">
        <v>78.13</v>
      </c>
      <c r="E476" s="4">
        <v>1.64</v>
      </c>
      <c r="F476" s="3" t="s">
        <v>12</v>
      </c>
      <c r="G476" s="3" t="s">
        <v>13</v>
      </c>
      <c r="H476" s="5">
        <f t="shared" si="15"/>
        <v>29.04892921</v>
      </c>
      <c r="I476" s="5">
        <f t="array" ref="I476">XLOOKUP(A476,protein_data!A:A,protein_data!B:B,"")</f>
        <v>114</v>
      </c>
      <c r="J476" s="5" t="str">
        <f t="shared" si="16"/>
        <v>Non-Responder</v>
      </c>
    </row>
    <row r="477" ht="22.5" customHeight="1">
      <c r="A477" s="3" t="s">
        <v>492</v>
      </c>
      <c r="B477" s="4">
        <v>61.0</v>
      </c>
      <c r="C477" s="3" t="s">
        <v>21</v>
      </c>
      <c r="D477" s="4">
        <v>77.85</v>
      </c>
      <c r="E477" s="4">
        <v>1.7</v>
      </c>
      <c r="F477" s="3" t="s">
        <v>17</v>
      </c>
      <c r="G477" s="3" t="s">
        <v>13</v>
      </c>
      <c r="H477" s="5">
        <f t="shared" si="15"/>
        <v>26.93771626</v>
      </c>
      <c r="I477" s="5">
        <f t="array" ref="I477">XLOOKUP(A477,protein_data!A:A,protein_data!B:B,"")</f>
        <v>137</v>
      </c>
      <c r="J477" s="5" t="str">
        <f t="shared" si="16"/>
        <v>Non-Responder</v>
      </c>
    </row>
    <row r="478" ht="22.5" customHeight="1">
      <c r="A478" s="3" t="s">
        <v>493</v>
      </c>
      <c r="B478" s="4">
        <v>60.0</v>
      </c>
      <c r="C478" s="3" t="s">
        <v>11</v>
      </c>
      <c r="D478" s="4">
        <v>87.31</v>
      </c>
      <c r="E478" s="4">
        <v>1.61</v>
      </c>
      <c r="F478" s="3" t="s">
        <v>17</v>
      </c>
      <c r="G478" s="3" t="s">
        <v>15</v>
      </c>
      <c r="H478" s="5">
        <f t="shared" si="15"/>
        <v>33.68311408</v>
      </c>
      <c r="I478" s="5">
        <f t="array" ref="I478">XLOOKUP(A478,protein_data!A:A,protein_data!B:B,"")</f>
        <v>105</v>
      </c>
      <c r="J478" s="5" t="str">
        <f t="shared" si="16"/>
        <v>Responder</v>
      </c>
    </row>
    <row r="479" ht="22.5" customHeight="1">
      <c r="A479" s="3" t="s">
        <v>494</v>
      </c>
      <c r="B479" s="4">
        <v>77.0</v>
      </c>
      <c r="C479" s="3" t="s">
        <v>21</v>
      </c>
      <c r="D479" s="4">
        <v>64.11</v>
      </c>
      <c r="E479" s="4">
        <v>1.65</v>
      </c>
      <c r="F479" s="3" t="s">
        <v>12</v>
      </c>
      <c r="G479" s="3" t="s">
        <v>13</v>
      </c>
      <c r="H479" s="5">
        <f t="shared" si="15"/>
        <v>23.54820937</v>
      </c>
      <c r="I479" s="5">
        <f t="array" ref="I479">XLOOKUP(A479,protein_data!A:A,protein_data!B:B,"")</f>
        <v>114</v>
      </c>
      <c r="J479" s="5" t="str">
        <f t="shared" si="16"/>
        <v>Non-Responder</v>
      </c>
    </row>
    <row r="480" ht="22.5" customHeight="1">
      <c r="A480" s="3" t="s">
        <v>495</v>
      </c>
      <c r="B480" s="4">
        <v>61.0</v>
      </c>
      <c r="C480" s="3" t="s">
        <v>21</v>
      </c>
      <c r="D480" s="4">
        <v>69.88</v>
      </c>
      <c r="E480" s="4">
        <v>1.65</v>
      </c>
      <c r="F480" s="3" t="s">
        <v>12</v>
      </c>
      <c r="G480" s="3" t="s">
        <v>15</v>
      </c>
      <c r="H480" s="5">
        <f t="shared" si="15"/>
        <v>25.66758494</v>
      </c>
      <c r="I480" s="5">
        <f t="array" ref="I480">XLOOKUP(A480,protein_data!A:A,protein_data!B:B,"")</f>
        <v>126</v>
      </c>
      <c r="J480" s="5" t="str">
        <f t="shared" si="16"/>
        <v>Responder</v>
      </c>
    </row>
    <row r="481" ht="22.5" customHeight="1">
      <c r="A481" s="3" t="s">
        <v>496</v>
      </c>
      <c r="B481" s="4">
        <v>64.0</v>
      </c>
      <c r="C481" s="3" t="s">
        <v>21</v>
      </c>
      <c r="D481" s="4">
        <v>81.85</v>
      </c>
      <c r="E481" s="4">
        <v>1.72</v>
      </c>
      <c r="F481" s="3" t="s">
        <v>17</v>
      </c>
      <c r="G481" s="3" t="s">
        <v>15</v>
      </c>
      <c r="H481" s="5">
        <f t="shared" si="15"/>
        <v>27.66698215</v>
      </c>
      <c r="I481" s="5">
        <f t="array" ref="I481">XLOOKUP(A481,protein_data!A:A,protein_data!B:B,"")</f>
        <v>132</v>
      </c>
      <c r="J481" s="5" t="str">
        <f t="shared" si="16"/>
        <v>Responder</v>
      </c>
    </row>
    <row r="482" ht="22.5" customHeight="1">
      <c r="A482" s="3" t="s">
        <v>497</v>
      </c>
      <c r="B482" s="4">
        <v>48.0</v>
      </c>
      <c r="C482" s="3" t="s">
        <v>11</v>
      </c>
      <c r="D482" s="4">
        <v>84.37</v>
      </c>
      <c r="E482" s="4">
        <v>1.54</v>
      </c>
      <c r="F482" s="3" t="s">
        <v>17</v>
      </c>
      <c r="G482" s="3" t="s">
        <v>13</v>
      </c>
      <c r="H482" s="5">
        <f t="shared" si="15"/>
        <v>35.57513915</v>
      </c>
      <c r="I482" s="5">
        <f t="array" ref="I482">XLOOKUP(A482,protein_data!A:A,protein_data!B:B,"")</f>
        <v>158</v>
      </c>
      <c r="J482" s="5" t="str">
        <f t="shared" si="16"/>
        <v>Non-Responder</v>
      </c>
    </row>
    <row r="483" ht="22.5" customHeight="1">
      <c r="A483" s="3" t="s">
        <v>498</v>
      </c>
      <c r="B483" s="4">
        <v>61.0</v>
      </c>
      <c r="C483" s="3" t="s">
        <v>21</v>
      </c>
      <c r="D483" s="4">
        <v>104.82</v>
      </c>
      <c r="E483" s="4">
        <v>1.73</v>
      </c>
      <c r="F483" s="3" t="s">
        <v>17</v>
      </c>
      <c r="G483" s="3" t="s">
        <v>13</v>
      </c>
      <c r="H483" s="5">
        <f t="shared" si="15"/>
        <v>35.0228875</v>
      </c>
      <c r="I483" s="5">
        <f t="array" ref="I483">XLOOKUP(A483,protein_data!A:A,protein_data!B:B,"")</f>
        <v>123</v>
      </c>
      <c r="J483" s="5" t="str">
        <f t="shared" si="16"/>
        <v>Non-Responder</v>
      </c>
    </row>
    <row r="484" ht="22.5" customHeight="1">
      <c r="A484" s="3" t="s">
        <v>499</v>
      </c>
      <c r="B484" s="4">
        <v>72.0</v>
      </c>
      <c r="C484" s="3" t="s">
        <v>11</v>
      </c>
      <c r="D484" s="4">
        <v>78.71</v>
      </c>
      <c r="E484" s="4">
        <v>1.68</v>
      </c>
      <c r="F484" s="3" t="s">
        <v>17</v>
      </c>
      <c r="G484" s="3" t="s">
        <v>13</v>
      </c>
      <c r="H484" s="5">
        <f t="shared" si="15"/>
        <v>27.88761338</v>
      </c>
      <c r="I484" s="5">
        <f t="array" ref="I484">XLOOKUP(A484,protein_data!A:A,protein_data!B:B,"")</f>
        <v>85</v>
      </c>
      <c r="J484" s="5" t="str">
        <f t="shared" si="16"/>
        <v>Non-Responder</v>
      </c>
    </row>
    <row r="485" ht="22.5" customHeight="1">
      <c r="A485" s="3" t="s">
        <v>500</v>
      </c>
      <c r="B485" s="4">
        <v>73.0</v>
      </c>
      <c r="C485" s="3" t="s">
        <v>21</v>
      </c>
      <c r="D485" s="4">
        <v>121.06</v>
      </c>
      <c r="E485" s="4">
        <v>1.79</v>
      </c>
      <c r="F485" s="3" t="s">
        <v>17</v>
      </c>
      <c r="G485" s="3" t="s">
        <v>15</v>
      </c>
      <c r="H485" s="5">
        <f t="shared" si="15"/>
        <v>37.78284074</v>
      </c>
      <c r="I485" s="5">
        <f t="array" ref="I485">XLOOKUP(A485,protein_data!A:A,protein_data!B:B,"")</f>
        <v>84</v>
      </c>
      <c r="J485" s="5" t="str">
        <f t="shared" si="16"/>
        <v>Responder</v>
      </c>
    </row>
    <row r="486" ht="22.5" customHeight="1">
      <c r="A486" s="3" t="s">
        <v>501</v>
      </c>
      <c r="B486" s="4">
        <v>64.0</v>
      </c>
      <c r="C486" s="3" t="s">
        <v>11</v>
      </c>
      <c r="D486" s="4">
        <v>112.2</v>
      </c>
      <c r="E486" s="4">
        <v>1.59</v>
      </c>
      <c r="F486" s="3" t="s">
        <v>12</v>
      </c>
      <c r="G486" s="3" t="s">
        <v>13</v>
      </c>
      <c r="H486" s="5">
        <f t="shared" si="15"/>
        <v>44.38115581</v>
      </c>
      <c r="I486" s="5">
        <f t="array" ref="I486">XLOOKUP(A486,protein_data!A:A,protein_data!B:B,"")</f>
        <v>145</v>
      </c>
      <c r="J486" s="5" t="str">
        <f t="shared" si="16"/>
        <v>Non-Responder</v>
      </c>
    </row>
    <row r="487" ht="22.5" customHeight="1">
      <c r="A487" s="3" t="s">
        <v>502</v>
      </c>
      <c r="B487" s="4">
        <v>60.0</v>
      </c>
      <c r="C487" s="3" t="s">
        <v>21</v>
      </c>
      <c r="D487" s="4">
        <v>141.03</v>
      </c>
      <c r="E487" s="4">
        <v>1.83</v>
      </c>
      <c r="F487" s="3" t="s">
        <v>12</v>
      </c>
      <c r="G487" s="3" t="s">
        <v>15</v>
      </c>
      <c r="H487" s="5">
        <f t="shared" si="15"/>
        <v>42.11233539</v>
      </c>
      <c r="I487" s="5">
        <f t="array" ref="I487">XLOOKUP(A487,protein_data!A:A,protein_data!B:B,"")</f>
        <v>135</v>
      </c>
      <c r="J487" s="5" t="str">
        <f t="shared" si="16"/>
        <v>Responder</v>
      </c>
    </row>
    <row r="488" ht="22.5" customHeight="1">
      <c r="A488" s="3" t="s">
        <v>503</v>
      </c>
      <c r="B488" s="4">
        <v>76.0</v>
      </c>
      <c r="C488" s="3" t="s">
        <v>11</v>
      </c>
      <c r="D488" s="4">
        <v>101.69</v>
      </c>
      <c r="E488" s="4">
        <v>1.58</v>
      </c>
      <c r="F488" s="3" t="s">
        <v>12</v>
      </c>
      <c r="G488" s="3" t="s">
        <v>13</v>
      </c>
      <c r="H488" s="5">
        <f t="shared" si="15"/>
        <v>40.73465791</v>
      </c>
      <c r="I488" s="5">
        <f t="array" ref="I488">XLOOKUP(A488,protein_data!A:A,protein_data!B:B,"")</f>
        <v>139</v>
      </c>
      <c r="J488" s="5" t="str">
        <f t="shared" si="16"/>
        <v>Non-Responder</v>
      </c>
    </row>
    <row r="489" ht="22.5" customHeight="1">
      <c r="A489" s="3" t="s">
        <v>504</v>
      </c>
      <c r="B489" s="4">
        <v>57.0</v>
      </c>
      <c r="C489" s="3" t="s">
        <v>21</v>
      </c>
      <c r="D489" s="4">
        <v>139.32</v>
      </c>
      <c r="E489" s="4">
        <v>1.74</v>
      </c>
      <c r="F489" s="3" t="s">
        <v>17</v>
      </c>
      <c r="G489" s="3" t="s">
        <v>13</v>
      </c>
      <c r="H489" s="5">
        <f t="shared" si="15"/>
        <v>46.01664685</v>
      </c>
      <c r="I489" s="5">
        <f t="array" ref="I489">XLOOKUP(A489,protein_data!A:A,protein_data!B:B,"")</f>
        <v>173</v>
      </c>
      <c r="J489" s="5" t="str">
        <f t="shared" si="16"/>
        <v>Non-Responder</v>
      </c>
    </row>
    <row r="490" ht="22.5" customHeight="1">
      <c r="A490" s="3" t="s">
        <v>505</v>
      </c>
      <c r="B490" s="4">
        <v>62.0</v>
      </c>
      <c r="C490" s="3" t="s">
        <v>21</v>
      </c>
      <c r="D490" s="4">
        <v>77.67</v>
      </c>
      <c r="E490" s="4">
        <v>1.75</v>
      </c>
      <c r="F490" s="3" t="s">
        <v>17</v>
      </c>
      <c r="G490" s="3" t="s">
        <v>13</v>
      </c>
      <c r="H490" s="5">
        <f t="shared" si="15"/>
        <v>25.36163265</v>
      </c>
      <c r="I490" s="5">
        <f t="array" ref="I490">XLOOKUP(A490,protein_data!A:A,protein_data!B:B,"")</f>
        <v>99</v>
      </c>
      <c r="J490" s="5" t="str">
        <f t="shared" si="16"/>
        <v>Non-Responder</v>
      </c>
    </row>
    <row r="491" ht="22.5" customHeight="1">
      <c r="A491" s="3" t="s">
        <v>506</v>
      </c>
      <c r="B491" s="4">
        <v>78.0</v>
      </c>
      <c r="C491" s="3" t="s">
        <v>11</v>
      </c>
      <c r="D491" s="4">
        <v>71.83</v>
      </c>
      <c r="E491" s="4">
        <v>1.66</v>
      </c>
      <c r="F491" s="3" t="s">
        <v>12</v>
      </c>
      <c r="G491" s="3" t="s">
        <v>13</v>
      </c>
      <c r="H491" s="5">
        <f t="shared" si="15"/>
        <v>26.06691828</v>
      </c>
      <c r="I491" s="5">
        <f t="array" ref="I491">XLOOKUP(A491,protein_data!A:A,protein_data!B:B,"")</f>
        <v>194</v>
      </c>
      <c r="J491" s="5" t="str">
        <f t="shared" si="16"/>
        <v>Non-Responder</v>
      </c>
    </row>
    <row r="492" ht="22.5" customHeight="1">
      <c r="A492" s="3" t="s">
        <v>507</v>
      </c>
      <c r="B492" s="4">
        <v>62.0</v>
      </c>
      <c r="C492" s="3" t="s">
        <v>21</v>
      </c>
      <c r="D492" s="4">
        <v>108.65</v>
      </c>
      <c r="E492" s="4">
        <v>1.73</v>
      </c>
      <c r="F492" s="3" t="s">
        <v>12</v>
      </c>
      <c r="G492" s="3" t="s">
        <v>15</v>
      </c>
      <c r="H492" s="5">
        <f t="shared" si="15"/>
        <v>36.30258278</v>
      </c>
      <c r="I492" s="5">
        <f t="array" ref="I492">XLOOKUP(A492,protein_data!A:A,protein_data!B:B,"")</f>
        <v>83</v>
      </c>
      <c r="J492" s="5" t="str">
        <f t="shared" si="16"/>
        <v>Responder</v>
      </c>
    </row>
    <row r="493" ht="22.5" customHeight="1">
      <c r="A493" s="3" t="s">
        <v>508</v>
      </c>
      <c r="B493" s="4">
        <v>60.0</v>
      </c>
      <c r="C493" s="3" t="s">
        <v>21</v>
      </c>
      <c r="D493" s="4">
        <v>102.52</v>
      </c>
      <c r="E493" s="4">
        <v>1.76</v>
      </c>
      <c r="F493" s="3" t="s">
        <v>17</v>
      </c>
      <c r="G493" s="3" t="s">
        <v>15</v>
      </c>
      <c r="H493" s="5">
        <f t="shared" si="15"/>
        <v>33.09659091</v>
      </c>
      <c r="I493" s="5">
        <f t="array" ref="I493">XLOOKUP(A493,protein_data!A:A,protein_data!B:B,"")</f>
        <v>89</v>
      </c>
      <c r="J493" s="5" t="str">
        <f t="shared" si="16"/>
        <v>Responder</v>
      </c>
    </row>
    <row r="494" ht="22.5" customHeight="1">
      <c r="A494" s="3" t="s">
        <v>509</v>
      </c>
      <c r="B494" s="4">
        <v>66.0</v>
      </c>
      <c r="C494" s="3" t="s">
        <v>11</v>
      </c>
      <c r="D494" s="4">
        <v>78.95</v>
      </c>
      <c r="E494" s="4">
        <v>1.55</v>
      </c>
      <c r="F494" s="3" t="s">
        <v>17</v>
      </c>
      <c r="G494" s="3" t="s">
        <v>15</v>
      </c>
      <c r="H494" s="5">
        <f t="shared" si="15"/>
        <v>32.8616025</v>
      </c>
      <c r="I494" s="5">
        <f t="array" ref="I494">XLOOKUP(A494,protein_data!A:A,protein_data!B:B,"")</f>
        <v>99</v>
      </c>
      <c r="J494" s="5" t="str">
        <f t="shared" si="16"/>
        <v>Responder</v>
      </c>
    </row>
    <row r="495" ht="22.5" customHeight="1">
      <c r="A495" s="3" t="s">
        <v>510</v>
      </c>
      <c r="B495" s="4">
        <v>51.0</v>
      </c>
      <c r="C495" s="3" t="s">
        <v>21</v>
      </c>
      <c r="D495" s="4">
        <v>84.9</v>
      </c>
      <c r="E495" s="4">
        <v>1.72</v>
      </c>
      <c r="F495" s="3" t="s">
        <v>17</v>
      </c>
      <c r="G495" s="3" t="s">
        <v>13</v>
      </c>
      <c r="H495" s="5">
        <f t="shared" si="15"/>
        <v>28.69794484</v>
      </c>
      <c r="I495" s="5">
        <f t="array" ref="I495">XLOOKUP(A495,protein_data!A:A,protein_data!B:B,"")</f>
        <v>125</v>
      </c>
      <c r="J495" s="5" t="str">
        <f t="shared" si="16"/>
        <v>Non-Responder</v>
      </c>
    </row>
    <row r="496" ht="22.5" hidden="1" customHeight="1">
      <c r="A496" s="3" t="s">
        <v>511</v>
      </c>
      <c r="B496" s="4">
        <v>60.0</v>
      </c>
      <c r="C496" s="3" t="s">
        <v>11</v>
      </c>
      <c r="D496" s="3" t="s">
        <v>26</v>
      </c>
      <c r="E496" s="4">
        <v>1.65</v>
      </c>
      <c r="F496" s="3" t="s">
        <v>17</v>
      </c>
      <c r="G496" s="3" t="s">
        <v>13</v>
      </c>
      <c r="H496" s="5"/>
      <c r="I496" s="5"/>
      <c r="J496" s="5"/>
    </row>
    <row r="497" ht="22.5" customHeight="1">
      <c r="A497" s="3" t="s">
        <v>512</v>
      </c>
      <c r="B497" s="4">
        <v>65.0</v>
      </c>
      <c r="C497" s="3" t="s">
        <v>11</v>
      </c>
      <c r="D497" s="4">
        <v>72.55</v>
      </c>
      <c r="E497" s="4">
        <v>1.65</v>
      </c>
      <c r="F497" s="3" t="s">
        <v>12</v>
      </c>
      <c r="G497" s="3" t="s">
        <v>13</v>
      </c>
      <c r="H497" s="5">
        <f t="shared" ref="H497:H523" si="17">(D497)/(E497^2)</f>
        <v>26.64830119</v>
      </c>
      <c r="I497" s="5">
        <f t="array" ref="I497">XLOOKUP(A497,protein_data!A:A,protein_data!B:B,"")</f>
        <v>166</v>
      </c>
      <c r="J497" s="5" t="str">
        <f t="shared" ref="J497:J523" si="18">if(G497="y","Responder","Non-Responder")</f>
        <v>Non-Responder</v>
      </c>
    </row>
    <row r="498" ht="22.5" customHeight="1">
      <c r="A498" s="3" t="s">
        <v>513</v>
      </c>
      <c r="B498" s="4">
        <v>64.0</v>
      </c>
      <c r="C498" s="3" t="s">
        <v>11</v>
      </c>
      <c r="D498" s="4">
        <v>66.6</v>
      </c>
      <c r="E498" s="4">
        <v>1.6</v>
      </c>
      <c r="F498" s="3" t="s">
        <v>17</v>
      </c>
      <c r="G498" s="3" t="s">
        <v>13</v>
      </c>
      <c r="H498" s="5">
        <f t="shared" si="17"/>
        <v>26.015625</v>
      </c>
      <c r="I498" s="5">
        <f t="array" ref="I498">XLOOKUP(A498,protein_data!A:A,protein_data!B:B,"")</f>
        <v>110</v>
      </c>
      <c r="J498" s="5" t="str">
        <f t="shared" si="18"/>
        <v>Non-Responder</v>
      </c>
    </row>
    <row r="499" ht="22.5" customHeight="1">
      <c r="A499" s="3" t="s">
        <v>514</v>
      </c>
      <c r="B499" s="4">
        <v>60.0</v>
      </c>
      <c r="C499" s="3" t="s">
        <v>21</v>
      </c>
      <c r="D499" s="4">
        <v>89.07</v>
      </c>
      <c r="E499" s="4">
        <v>1.73</v>
      </c>
      <c r="F499" s="3" t="s">
        <v>17</v>
      </c>
      <c r="G499" s="3" t="s">
        <v>15</v>
      </c>
      <c r="H499" s="5">
        <f t="shared" si="17"/>
        <v>29.76043302</v>
      </c>
      <c r="I499" s="5">
        <f t="array" ref="I499">XLOOKUP(A499,protein_data!A:A,protein_data!B:B,"")</f>
        <v>81</v>
      </c>
      <c r="J499" s="5" t="str">
        <f t="shared" si="18"/>
        <v>Responder</v>
      </c>
    </row>
    <row r="500" ht="22.5" customHeight="1">
      <c r="A500" s="3" t="s">
        <v>515</v>
      </c>
      <c r="B500" s="4">
        <v>53.0</v>
      </c>
      <c r="C500" s="3" t="s">
        <v>11</v>
      </c>
      <c r="D500" s="4">
        <v>75.89</v>
      </c>
      <c r="E500" s="4">
        <v>1.74</v>
      </c>
      <c r="F500" s="3" t="s">
        <v>17</v>
      </c>
      <c r="G500" s="3" t="s">
        <v>13</v>
      </c>
      <c r="H500" s="5">
        <f t="shared" si="17"/>
        <v>25.06605892</v>
      </c>
      <c r="I500" s="5">
        <f t="array" ref="I500">XLOOKUP(A500,protein_data!A:A,protein_data!B:B,"")</f>
        <v>195</v>
      </c>
      <c r="J500" s="5" t="str">
        <f t="shared" si="18"/>
        <v>Non-Responder</v>
      </c>
    </row>
    <row r="501" ht="22.5" customHeight="1">
      <c r="A501" s="3" t="s">
        <v>516</v>
      </c>
      <c r="B501" s="4">
        <v>56.0</v>
      </c>
      <c r="C501" s="3" t="s">
        <v>11</v>
      </c>
      <c r="D501" s="4">
        <v>73.83</v>
      </c>
      <c r="E501" s="4">
        <v>1.59</v>
      </c>
      <c r="F501" s="3" t="s">
        <v>12</v>
      </c>
      <c r="G501" s="3" t="s">
        <v>13</v>
      </c>
      <c r="H501" s="5">
        <f t="shared" si="17"/>
        <v>29.20374985</v>
      </c>
      <c r="I501" s="5">
        <f t="array" ref="I501">XLOOKUP(A501,protein_data!A:A,protein_data!B:B,"")</f>
        <v>154</v>
      </c>
      <c r="J501" s="5" t="str">
        <f t="shared" si="18"/>
        <v>Non-Responder</v>
      </c>
    </row>
    <row r="502" ht="22.5" customHeight="1">
      <c r="A502" s="3" t="s">
        <v>517</v>
      </c>
      <c r="B502" s="4">
        <v>55.0</v>
      </c>
      <c r="C502" s="3" t="s">
        <v>11</v>
      </c>
      <c r="D502" s="4">
        <v>63.67</v>
      </c>
      <c r="E502" s="4">
        <v>1.59</v>
      </c>
      <c r="F502" s="3" t="s">
        <v>17</v>
      </c>
      <c r="G502" s="3" t="s">
        <v>13</v>
      </c>
      <c r="H502" s="5">
        <f t="shared" si="17"/>
        <v>25.18492148</v>
      </c>
      <c r="I502" s="5">
        <f t="array" ref="I502">XLOOKUP(A502,protein_data!A:A,protein_data!B:B,"")</f>
        <v>117</v>
      </c>
      <c r="J502" s="5" t="str">
        <f t="shared" si="18"/>
        <v>Non-Responder</v>
      </c>
    </row>
    <row r="503" ht="22.5" customHeight="1">
      <c r="A503" s="3" t="s">
        <v>518</v>
      </c>
      <c r="B503" s="4">
        <v>66.0</v>
      </c>
      <c r="C503" s="3" t="s">
        <v>21</v>
      </c>
      <c r="D503" s="4">
        <v>122.75</v>
      </c>
      <c r="E503" s="4">
        <v>1.82</v>
      </c>
      <c r="F503" s="3" t="s">
        <v>12</v>
      </c>
      <c r="G503" s="3" t="s">
        <v>13</v>
      </c>
      <c r="H503" s="5">
        <f t="shared" si="17"/>
        <v>37.0577225</v>
      </c>
      <c r="I503" s="5">
        <f t="array" ref="I503">XLOOKUP(A503,protein_data!A:A,protein_data!B:B,"")</f>
        <v>84</v>
      </c>
      <c r="J503" s="5" t="str">
        <f t="shared" si="18"/>
        <v>Non-Responder</v>
      </c>
    </row>
    <row r="504" ht="22.5" customHeight="1">
      <c r="A504" s="3" t="s">
        <v>519</v>
      </c>
      <c r="B504" s="4">
        <v>66.0</v>
      </c>
      <c r="C504" s="3" t="s">
        <v>11</v>
      </c>
      <c r="D504" s="4">
        <v>91.89</v>
      </c>
      <c r="E504" s="4">
        <v>1.53</v>
      </c>
      <c r="F504" s="3" t="s">
        <v>17</v>
      </c>
      <c r="G504" s="3" t="s">
        <v>15</v>
      </c>
      <c r="H504" s="5">
        <f t="shared" si="17"/>
        <v>39.25413303</v>
      </c>
      <c r="I504" s="5" t="str">
        <f t="array" ref="I504">XLOOKUP(A504,protein_data!A:A,protein_data!B:B,"")</f>
        <v>NA</v>
      </c>
      <c r="J504" s="5" t="str">
        <f t="shared" si="18"/>
        <v>Responder</v>
      </c>
    </row>
    <row r="505" ht="22.5" customHeight="1">
      <c r="A505" s="3" t="s">
        <v>520</v>
      </c>
      <c r="B505" s="4">
        <v>56.0</v>
      </c>
      <c r="C505" s="3" t="s">
        <v>11</v>
      </c>
      <c r="D505" s="4">
        <v>81.84</v>
      </c>
      <c r="E505" s="4">
        <v>1.57</v>
      </c>
      <c r="F505" s="3" t="s">
        <v>17</v>
      </c>
      <c r="G505" s="3" t="s">
        <v>15</v>
      </c>
      <c r="H505" s="5">
        <f t="shared" si="17"/>
        <v>33.2021583</v>
      </c>
      <c r="I505" s="5">
        <f t="array" ref="I505">XLOOKUP(A505,protein_data!A:A,protein_data!B:B,"")</f>
        <v>94</v>
      </c>
      <c r="J505" s="5" t="str">
        <f t="shared" si="18"/>
        <v>Responder</v>
      </c>
    </row>
    <row r="506" ht="22.5" customHeight="1">
      <c r="A506" s="3" t="s">
        <v>521</v>
      </c>
      <c r="B506" s="4">
        <v>48.0</v>
      </c>
      <c r="C506" s="3" t="s">
        <v>11</v>
      </c>
      <c r="D506" s="4">
        <v>97.94</v>
      </c>
      <c r="E506" s="4">
        <v>1.62</v>
      </c>
      <c r="F506" s="3" t="s">
        <v>17</v>
      </c>
      <c r="G506" s="3" t="s">
        <v>15</v>
      </c>
      <c r="H506" s="5">
        <f t="shared" si="17"/>
        <v>37.31900625</v>
      </c>
      <c r="I506" s="5">
        <f t="array" ref="I506">XLOOKUP(A506,protein_data!A:A,protein_data!B:B,"")</f>
        <v>96</v>
      </c>
      <c r="J506" s="5" t="str">
        <f t="shared" si="18"/>
        <v>Responder</v>
      </c>
    </row>
    <row r="507" ht="22.5" customHeight="1">
      <c r="A507" s="3" t="s">
        <v>522</v>
      </c>
      <c r="B507" s="4">
        <v>56.0</v>
      </c>
      <c r="C507" s="3" t="s">
        <v>21</v>
      </c>
      <c r="D507" s="4">
        <v>97.87</v>
      </c>
      <c r="E507" s="4">
        <v>1.72</v>
      </c>
      <c r="F507" s="3" t="s">
        <v>12</v>
      </c>
      <c r="G507" s="3" t="s">
        <v>15</v>
      </c>
      <c r="H507" s="5">
        <f t="shared" si="17"/>
        <v>33.08207139</v>
      </c>
      <c r="I507" s="5">
        <f t="array" ref="I507">XLOOKUP(A507,protein_data!A:A,protein_data!B:B,"")</f>
        <v>75</v>
      </c>
      <c r="J507" s="5" t="str">
        <f t="shared" si="18"/>
        <v>Responder</v>
      </c>
    </row>
    <row r="508" ht="22.5" customHeight="1">
      <c r="A508" s="3" t="s">
        <v>523</v>
      </c>
      <c r="B508" s="4">
        <v>63.0</v>
      </c>
      <c r="C508" s="3" t="s">
        <v>21</v>
      </c>
      <c r="D508" s="4">
        <v>112.32</v>
      </c>
      <c r="E508" s="4">
        <v>1.76</v>
      </c>
      <c r="F508" s="3" t="s">
        <v>12</v>
      </c>
      <c r="G508" s="3" t="s">
        <v>13</v>
      </c>
      <c r="H508" s="5">
        <f t="shared" si="17"/>
        <v>36.26033058</v>
      </c>
      <c r="I508" s="5">
        <f t="array" ref="I508">XLOOKUP(A508,protein_data!A:A,protein_data!B:B,"")</f>
        <v>180</v>
      </c>
      <c r="J508" s="5" t="str">
        <f t="shared" si="18"/>
        <v>Non-Responder</v>
      </c>
    </row>
    <row r="509" ht="22.5" customHeight="1">
      <c r="A509" s="3" t="s">
        <v>524</v>
      </c>
      <c r="B509" s="4">
        <v>51.0</v>
      </c>
      <c r="C509" s="3" t="s">
        <v>11</v>
      </c>
      <c r="D509" s="4">
        <v>71.85</v>
      </c>
      <c r="E509" s="4">
        <v>1.58</v>
      </c>
      <c r="F509" s="3" t="s">
        <v>12</v>
      </c>
      <c r="G509" s="3" t="s">
        <v>13</v>
      </c>
      <c r="H509" s="5">
        <f t="shared" si="17"/>
        <v>28.78144528</v>
      </c>
      <c r="I509" s="5">
        <f t="array" ref="I509">XLOOKUP(A509,protein_data!A:A,protein_data!B:B,"")</f>
        <v>130</v>
      </c>
      <c r="J509" s="5" t="str">
        <f t="shared" si="18"/>
        <v>Non-Responder</v>
      </c>
    </row>
    <row r="510" ht="22.5" customHeight="1">
      <c r="A510" s="3" t="s">
        <v>525</v>
      </c>
      <c r="B510" s="4">
        <v>51.0</v>
      </c>
      <c r="C510" s="3" t="s">
        <v>11</v>
      </c>
      <c r="D510" s="4">
        <v>74.56</v>
      </c>
      <c r="E510" s="4">
        <v>1.57</v>
      </c>
      <c r="F510" s="3" t="s">
        <v>12</v>
      </c>
      <c r="G510" s="3" t="s">
        <v>15</v>
      </c>
      <c r="H510" s="5">
        <f t="shared" si="17"/>
        <v>30.24869163</v>
      </c>
      <c r="I510" s="5">
        <f t="array" ref="I510">XLOOKUP(A510,protein_data!A:A,protein_data!B:B,"")</f>
        <v>84</v>
      </c>
      <c r="J510" s="5" t="str">
        <f t="shared" si="18"/>
        <v>Responder</v>
      </c>
    </row>
    <row r="511" ht="22.5" customHeight="1">
      <c r="A511" s="3" t="s">
        <v>526</v>
      </c>
      <c r="B511" s="4">
        <v>60.0</v>
      </c>
      <c r="C511" s="3" t="s">
        <v>11</v>
      </c>
      <c r="D511" s="4">
        <v>67.82</v>
      </c>
      <c r="E511" s="4">
        <v>1.65</v>
      </c>
      <c r="F511" s="3" t="s">
        <v>17</v>
      </c>
      <c r="G511" s="3" t="s">
        <v>13</v>
      </c>
      <c r="H511" s="5">
        <f t="shared" si="17"/>
        <v>24.91092746</v>
      </c>
      <c r="I511" s="5">
        <f t="array" ref="I511">XLOOKUP(A511,protein_data!A:A,protein_data!B:B,"")</f>
        <v>120</v>
      </c>
      <c r="J511" s="5" t="str">
        <f t="shared" si="18"/>
        <v>Non-Responder</v>
      </c>
    </row>
    <row r="512" ht="22.5" customHeight="1">
      <c r="A512" s="3" t="s">
        <v>527</v>
      </c>
      <c r="B512" s="4">
        <v>59.0</v>
      </c>
      <c r="C512" s="3" t="s">
        <v>11</v>
      </c>
      <c r="D512" s="4">
        <v>62.97</v>
      </c>
      <c r="E512" s="4">
        <v>1.46</v>
      </c>
      <c r="F512" s="3" t="s">
        <v>12</v>
      </c>
      <c r="G512" s="3" t="s">
        <v>15</v>
      </c>
      <c r="H512" s="5">
        <f t="shared" si="17"/>
        <v>29.54118972</v>
      </c>
      <c r="I512" s="5">
        <f t="array" ref="I512">XLOOKUP(A512,protein_data!A:A,protein_data!B:B,"")</f>
        <v>84</v>
      </c>
      <c r="J512" s="5" t="str">
        <f t="shared" si="18"/>
        <v>Responder</v>
      </c>
    </row>
    <row r="513" ht="22.5" customHeight="1">
      <c r="A513" s="3" t="s">
        <v>528</v>
      </c>
      <c r="B513" s="4">
        <v>54.0</v>
      </c>
      <c r="C513" s="3" t="s">
        <v>21</v>
      </c>
      <c r="D513" s="4">
        <v>59.95</v>
      </c>
      <c r="E513" s="4">
        <v>1.65</v>
      </c>
      <c r="F513" s="3" t="s">
        <v>12</v>
      </c>
      <c r="G513" s="3" t="s">
        <v>13</v>
      </c>
      <c r="H513" s="5">
        <f t="shared" si="17"/>
        <v>22.02020202</v>
      </c>
      <c r="I513" s="5">
        <f t="array" ref="I513">XLOOKUP(A513,protein_data!A:A,protein_data!B:B,"")</f>
        <v>139</v>
      </c>
      <c r="J513" s="5" t="str">
        <f t="shared" si="18"/>
        <v>Non-Responder</v>
      </c>
    </row>
    <row r="514" ht="22.5" customHeight="1">
      <c r="A514" s="3" t="s">
        <v>529</v>
      </c>
      <c r="B514" s="4">
        <v>66.0</v>
      </c>
      <c r="C514" s="3" t="s">
        <v>21</v>
      </c>
      <c r="D514" s="4">
        <v>73.17</v>
      </c>
      <c r="E514" s="4">
        <v>1.75</v>
      </c>
      <c r="F514" s="3" t="s">
        <v>17</v>
      </c>
      <c r="G514" s="3" t="s">
        <v>15</v>
      </c>
      <c r="H514" s="5">
        <f t="shared" si="17"/>
        <v>23.8922449</v>
      </c>
      <c r="I514" s="5">
        <f t="array" ref="I514">XLOOKUP(A514,protein_data!A:A,protein_data!B:B,"")</f>
        <v>91</v>
      </c>
      <c r="J514" s="5" t="str">
        <f t="shared" si="18"/>
        <v>Responder</v>
      </c>
    </row>
    <row r="515" ht="22.5" customHeight="1">
      <c r="A515" s="3" t="s">
        <v>530</v>
      </c>
      <c r="B515" s="4">
        <v>50.0</v>
      </c>
      <c r="C515" s="3" t="s">
        <v>11</v>
      </c>
      <c r="D515" s="4">
        <v>68.04</v>
      </c>
      <c r="E515" s="4">
        <v>1.58</v>
      </c>
      <c r="F515" s="3" t="s">
        <v>17</v>
      </c>
      <c r="G515" s="3" t="s">
        <v>13</v>
      </c>
      <c r="H515" s="5">
        <f t="shared" si="17"/>
        <v>27.25524756</v>
      </c>
      <c r="I515" s="5">
        <f t="array" ref="I515">XLOOKUP(A515,protein_data!A:A,protein_data!B:B,"")</f>
        <v>91</v>
      </c>
      <c r="J515" s="5" t="str">
        <f t="shared" si="18"/>
        <v>Non-Responder</v>
      </c>
    </row>
    <row r="516" ht="22.5" customHeight="1">
      <c r="A516" s="3" t="s">
        <v>531</v>
      </c>
      <c r="B516" s="4">
        <v>66.0</v>
      </c>
      <c r="C516" s="3" t="s">
        <v>11</v>
      </c>
      <c r="D516" s="4">
        <v>60.97</v>
      </c>
      <c r="E516" s="4">
        <v>1.54</v>
      </c>
      <c r="F516" s="3" t="s">
        <v>12</v>
      </c>
      <c r="G516" s="3" t="s">
        <v>15</v>
      </c>
      <c r="H516" s="5">
        <f t="shared" si="17"/>
        <v>25.70838253</v>
      </c>
      <c r="I516" s="5">
        <f t="array" ref="I516">XLOOKUP(A516,protein_data!A:A,protein_data!B:B,"")</f>
        <v>99</v>
      </c>
      <c r="J516" s="5" t="str">
        <f t="shared" si="18"/>
        <v>Responder</v>
      </c>
    </row>
    <row r="517" ht="22.5" customHeight="1">
      <c r="A517" s="3" t="s">
        <v>532</v>
      </c>
      <c r="B517" s="4">
        <v>47.0</v>
      </c>
      <c r="C517" s="3" t="s">
        <v>11</v>
      </c>
      <c r="D517" s="4">
        <v>85.25</v>
      </c>
      <c r="E517" s="4">
        <v>1.64</v>
      </c>
      <c r="F517" s="3" t="s">
        <v>12</v>
      </c>
      <c r="G517" s="3" t="s">
        <v>13</v>
      </c>
      <c r="H517" s="5">
        <f t="shared" si="17"/>
        <v>31.696163</v>
      </c>
      <c r="I517" s="5">
        <f t="array" ref="I517">XLOOKUP(A517,protein_data!A:A,protein_data!B:B,"")</f>
        <v>163</v>
      </c>
      <c r="J517" s="5" t="str">
        <f t="shared" si="18"/>
        <v>Non-Responder</v>
      </c>
    </row>
    <row r="518" ht="22.5" customHeight="1">
      <c r="A518" s="3" t="s">
        <v>533</v>
      </c>
      <c r="B518" s="4">
        <v>62.0</v>
      </c>
      <c r="C518" s="3" t="s">
        <v>11</v>
      </c>
      <c r="D518" s="4">
        <v>72.06</v>
      </c>
      <c r="E518" s="4">
        <v>1.54</v>
      </c>
      <c r="F518" s="3" t="s">
        <v>17</v>
      </c>
      <c r="G518" s="3" t="s">
        <v>13</v>
      </c>
      <c r="H518" s="5">
        <f t="shared" si="17"/>
        <v>30.38455051</v>
      </c>
      <c r="I518" s="5">
        <f t="array" ref="I518">XLOOKUP(A518,protein_data!A:A,protein_data!B:B,"")</f>
        <v>145</v>
      </c>
      <c r="J518" s="5" t="str">
        <f t="shared" si="18"/>
        <v>Non-Responder</v>
      </c>
    </row>
    <row r="519" ht="22.5" customHeight="1">
      <c r="A519" s="3" t="s">
        <v>534</v>
      </c>
      <c r="B519" s="4">
        <v>66.0</v>
      </c>
      <c r="C519" s="3" t="s">
        <v>21</v>
      </c>
      <c r="D519" s="4">
        <v>121.1</v>
      </c>
      <c r="E519" s="4">
        <v>1.8</v>
      </c>
      <c r="F519" s="3" t="s">
        <v>12</v>
      </c>
      <c r="G519" s="3" t="s">
        <v>15</v>
      </c>
      <c r="H519" s="5">
        <f t="shared" si="17"/>
        <v>37.37654321</v>
      </c>
      <c r="I519" s="5">
        <f t="array" ref="I519">XLOOKUP(A519,protein_data!A:A,protein_data!B:B,"")</f>
        <v>125</v>
      </c>
      <c r="J519" s="5" t="str">
        <f t="shared" si="18"/>
        <v>Responder</v>
      </c>
    </row>
    <row r="520" ht="22.5" customHeight="1">
      <c r="A520" s="3" t="s">
        <v>535</v>
      </c>
      <c r="B520" s="4">
        <v>64.0</v>
      </c>
      <c r="C520" s="3" t="s">
        <v>11</v>
      </c>
      <c r="D520" s="4">
        <v>80.25</v>
      </c>
      <c r="E520" s="4">
        <v>1.56</v>
      </c>
      <c r="F520" s="3" t="s">
        <v>17</v>
      </c>
      <c r="G520" s="3" t="s">
        <v>15</v>
      </c>
      <c r="H520" s="5">
        <f t="shared" si="17"/>
        <v>32.97583826</v>
      </c>
      <c r="I520" s="5">
        <f t="array" ref="I520">XLOOKUP(A520,protein_data!A:A,protein_data!B:B,"")</f>
        <v>76</v>
      </c>
      <c r="J520" s="5" t="str">
        <f t="shared" si="18"/>
        <v>Responder</v>
      </c>
    </row>
    <row r="521" ht="22.5" customHeight="1">
      <c r="A521" s="3" t="s">
        <v>536</v>
      </c>
      <c r="B521" s="4">
        <v>55.0</v>
      </c>
      <c r="C521" s="3" t="s">
        <v>21</v>
      </c>
      <c r="D521" s="4">
        <v>53.12</v>
      </c>
      <c r="E521" s="4">
        <v>1.65</v>
      </c>
      <c r="F521" s="3" t="s">
        <v>12</v>
      </c>
      <c r="G521" s="3" t="s">
        <v>13</v>
      </c>
      <c r="H521" s="5">
        <f t="shared" si="17"/>
        <v>19.51147842</v>
      </c>
      <c r="I521" s="5">
        <f t="array" ref="I521">XLOOKUP(A521,protein_data!A:A,protein_data!B:B,"")</f>
        <v>129</v>
      </c>
      <c r="J521" s="5" t="str">
        <f t="shared" si="18"/>
        <v>Non-Responder</v>
      </c>
    </row>
    <row r="522" ht="22.5" customHeight="1">
      <c r="A522" s="3" t="s">
        <v>537</v>
      </c>
      <c r="B522" s="4">
        <v>59.0</v>
      </c>
      <c r="C522" s="3" t="s">
        <v>21</v>
      </c>
      <c r="D522" s="4">
        <v>78.24</v>
      </c>
      <c r="E522" s="4">
        <v>1.78</v>
      </c>
      <c r="F522" s="3" t="s">
        <v>17</v>
      </c>
      <c r="G522" s="3" t="s">
        <v>15</v>
      </c>
      <c r="H522" s="5">
        <f t="shared" si="17"/>
        <v>24.69385179</v>
      </c>
      <c r="I522" s="5">
        <f t="array" ref="I522">XLOOKUP(A522,protein_data!A:A,protein_data!B:B,"")</f>
        <v>68</v>
      </c>
      <c r="J522" s="5" t="str">
        <f t="shared" si="18"/>
        <v>Responder</v>
      </c>
    </row>
    <row r="523" ht="22.5" customHeight="1">
      <c r="A523" s="3" t="s">
        <v>538</v>
      </c>
      <c r="B523" s="4">
        <v>59.0</v>
      </c>
      <c r="C523" s="3" t="s">
        <v>11</v>
      </c>
      <c r="D523" s="4">
        <v>102.66</v>
      </c>
      <c r="E523" s="4">
        <v>1.76</v>
      </c>
      <c r="F523" s="3" t="s">
        <v>17</v>
      </c>
      <c r="G523" s="3" t="s">
        <v>13</v>
      </c>
      <c r="H523" s="5">
        <f t="shared" si="17"/>
        <v>33.14178719</v>
      </c>
      <c r="I523" s="5">
        <f t="array" ref="I523">XLOOKUP(A523,protein_data!A:A,protein_data!B:B,"")</f>
        <v>124</v>
      </c>
      <c r="J523" s="5" t="str">
        <f t="shared" si="18"/>
        <v>Non-Responder</v>
      </c>
    </row>
    <row r="524" ht="22.5" hidden="1" customHeight="1">
      <c r="A524" s="3" t="s">
        <v>539</v>
      </c>
      <c r="B524" s="4">
        <v>62.0</v>
      </c>
      <c r="C524" s="3" t="s">
        <v>11</v>
      </c>
      <c r="D524" s="3" t="s">
        <v>26</v>
      </c>
      <c r="E524" s="4">
        <v>1.6</v>
      </c>
      <c r="F524" s="3" t="s">
        <v>12</v>
      </c>
      <c r="G524" s="3" t="s">
        <v>13</v>
      </c>
      <c r="H524" s="5"/>
      <c r="I524" s="5"/>
      <c r="J524" s="5"/>
    </row>
    <row r="525" ht="22.5" customHeight="1">
      <c r="A525" s="3" t="s">
        <v>540</v>
      </c>
      <c r="B525" s="4">
        <v>62.0</v>
      </c>
      <c r="C525" s="3" t="s">
        <v>21</v>
      </c>
      <c r="D525" s="4">
        <v>108.0</v>
      </c>
      <c r="E525" s="4">
        <v>1.78</v>
      </c>
      <c r="F525" s="3" t="s">
        <v>17</v>
      </c>
      <c r="G525" s="3" t="s">
        <v>13</v>
      </c>
      <c r="H525" s="5">
        <f t="shared" ref="H525:H685" si="19">(D525)/(E525^2)</f>
        <v>34.08660523</v>
      </c>
      <c r="I525" s="5">
        <f t="array" ref="I525">XLOOKUP(A525,protein_data!A:A,protein_data!B:B,"")</f>
        <v>130</v>
      </c>
      <c r="J525" s="5" t="str">
        <f t="shared" ref="J525:J685" si="20">if(G525="y","Responder","Non-Responder")</f>
        <v>Non-Responder</v>
      </c>
    </row>
    <row r="526" ht="22.5" customHeight="1">
      <c r="A526" s="3" t="s">
        <v>541</v>
      </c>
      <c r="B526" s="4">
        <v>68.0</v>
      </c>
      <c r="C526" s="3" t="s">
        <v>11</v>
      </c>
      <c r="D526" s="4">
        <v>82.38</v>
      </c>
      <c r="E526" s="4">
        <v>1.61</v>
      </c>
      <c r="F526" s="3" t="s">
        <v>12</v>
      </c>
      <c r="G526" s="3" t="s">
        <v>13</v>
      </c>
      <c r="H526" s="5">
        <f t="shared" si="19"/>
        <v>31.78118128</v>
      </c>
      <c r="I526" s="5">
        <f t="array" ref="I526">XLOOKUP(A526,protein_data!A:A,protein_data!B:B,"")</f>
        <v>125</v>
      </c>
      <c r="J526" s="5" t="str">
        <f t="shared" si="20"/>
        <v>Non-Responder</v>
      </c>
    </row>
    <row r="527" ht="22.5" customHeight="1">
      <c r="A527" s="3" t="s">
        <v>542</v>
      </c>
      <c r="B527" s="4">
        <v>71.0</v>
      </c>
      <c r="C527" s="3" t="s">
        <v>11</v>
      </c>
      <c r="D527" s="4">
        <v>51.89</v>
      </c>
      <c r="E527" s="4">
        <v>1.54</v>
      </c>
      <c r="F527" s="3" t="s">
        <v>17</v>
      </c>
      <c r="G527" s="3" t="s">
        <v>13</v>
      </c>
      <c r="H527" s="5">
        <f t="shared" si="19"/>
        <v>21.87974363</v>
      </c>
      <c r="I527" s="5">
        <f t="array" ref="I527">XLOOKUP(A527,protein_data!A:A,protein_data!B:B,"")</f>
        <v>87</v>
      </c>
      <c r="J527" s="5" t="str">
        <f t="shared" si="20"/>
        <v>Non-Responder</v>
      </c>
    </row>
    <row r="528" ht="22.5" customHeight="1">
      <c r="A528" s="3" t="s">
        <v>543</v>
      </c>
      <c r="B528" s="4">
        <v>67.0</v>
      </c>
      <c r="C528" s="3" t="s">
        <v>11</v>
      </c>
      <c r="D528" s="4">
        <v>46.58</v>
      </c>
      <c r="E528" s="4">
        <v>1.6</v>
      </c>
      <c r="F528" s="3" t="s">
        <v>12</v>
      </c>
      <c r="G528" s="3" t="s">
        <v>15</v>
      </c>
      <c r="H528" s="5">
        <f t="shared" si="19"/>
        <v>18.1953125</v>
      </c>
      <c r="I528" s="5">
        <f t="array" ref="I528">XLOOKUP(A528,protein_data!A:A,protein_data!B:B,"")</f>
        <v>97</v>
      </c>
      <c r="J528" s="5" t="str">
        <f t="shared" si="20"/>
        <v>Responder</v>
      </c>
    </row>
    <row r="529" ht="22.5" customHeight="1">
      <c r="A529" s="3" t="s">
        <v>544</v>
      </c>
      <c r="B529" s="4">
        <v>70.0</v>
      </c>
      <c r="C529" s="3" t="s">
        <v>11</v>
      </c>
      <c r="D529" s="4">
        <v>64.4</v>
      </c>
      <c r="E529" s="4">
        <v>1.56</v>
      </c>
      <c r="F529" s="3" t="s">
        <v>17</v>
      </c>
      <c r="G529" s="3" t="s">
        <v>15</v>
      </c>
      <c r="H529" s="5">
        <f t="shared" si="19"/>
        <v>26.46285339</v>
      </c>
      <c r="I529" s="5">
        <f t="array" ref="I529">XLOOKUP(A529,protein_data!A:A,protein_data!B:B,"")</f>
        <v>116</v>
      </c>
      <c r="J529" s="5" t="str">
        <f t="shared" si="20"/>
        <v>Responder</v>
      </c>
    </row>
    <row r="530" ht="22.5" customHeight="1">
      <c r="A530" s="3" t="s">
        <v>545</v>
      </c>
      <c r="B530" s="4">
        <v>74.0</v>
      </c>
      <c r="C530" s="3" t="s">
        <v>21</v>
      </c>
      <c r="D530" s="4">
        <v>91.21</v>
      </c>
      <c r="E530" s="4">
        <v>1.73</v>
      </c>
      <c r="F530" s="3" t="s">
        <v>17</v>
      </c>
      <c r="G530" s="3" t="s">
        <v>13</v>
      </c>
      <c r="H530" s="5">
        <f t="shared" si="19"/>
        <v>30.47545859</v>
      </c>
      <c r="I530" s="5">
        <f t="array" ref="I530">XLOOKUP(A530,protein_data!A:A,protein_data!B:B,"")</f>
        <v>117</v>
      </c>
      <c r="J530" s="5" t="str">
        <f t="shared" si="20"/>
        <v>Non-Responder</v>
      </c>
    </row>
    <row r="531" ht="22.5" customHeight="1">
      <c r="A531" s="3" t="s">
        <v>546</v>
      </c>
      <c r="B531" s="4">
        <v>70.0</v>
      </c>
      <c r="C531" s="3" t="s">
        <v>11</v>
      </c>
      <c r="D531" s="4">
        <v>59.56</v>
      </c>
      <c r="E531" s="4">
        <v>1.56</v>
      </c>
      <c r="F531" s="3" t="s">
        <v>17</v>
      </c>
      <c r="G531" s="3" t="s">
        <v>13</v>
      </c>
      <c r="H531" s="5">
        <f t="shared" si="19"/>
        <v>24.47403024</v>
      </c>
      <c r="I531" s="5">
        <f t="array" ref="I531">XLOOKUP(A531,protein_data!A:A,protein_data!B:B,"")</f>
        <v>111</v>
      </c>
      <c r="J531" s="5" t="str">
        <f t="shared" si="20"/>
        <v>Non-Responder</v>
      </c>
    </row>
    <row r="532" ht="22.5" customHeight="1">
      <c r="A532" s="3" t="s">
        <v>547</v>
      </c>
      <c r="B532" s="4">
        <v>61.0</v>
      </c>
      <c r="C532" s="3" t="s">
        <v>21</v>
      </c>
      <c r="D532" s="4">
        <v>76.45</v>
      </c>
      <c r="E532" s="4">
        <v>1.61</v>
      </c>
      <c r="F532" s="3" t="s">
        <v>17</v>
      </c>
      <c r="G532" s="3" t="s">
        <v>13</v>
      </c>
      <c r="H532" s="5">
        <f t="shared" si="19"/>
        <v>29.4934609</v>
      </c>
      <c r="I532" s="5">
        <f t="array" ref="I532">XLOOKUP(A532,protein_data!A:A,protein_data!B:B,"")</f>
        <v>122</v>
      </c>
      <c r="J532" s="5" t="str">
        <f t="shared" si="20"/>
        <v>Non-Responder</v>
      </c>
    </row>
    <row r="533" ht="22.5" customHeight="1">
      <c r="A533" s="3" t="s">
        <v>548</v>
      </c>
      <c r="B533" s="4">
        <v>66.0</v>
      </c>
      <c r="C533" s="3" t="s">
        <v>21</v>
      </c>
      <c r="D533" s="4">
        <v>132.58</v>
      </c>
      <c r="E533" s="4">
        <v>1.72</v>
      </c>
      <c r="F533" s="3" t="s">
        <v>17</v>
      </c>
      <c r="G533" s="3" t="s">
        <v>15</v>
      </c>
      <c r="H533" s="5">
        <f t="shared" si="19"/>
        <v>44.81476474</v>
      </c>
      <c r="I533" s="5">
        <f t="array" ref="I533">XLOOKUP(A533,protein_data!A:A,protein_data!B:B,"")</f>
        <v>107</v>
      </c>
      <c r="J533" s="5" t="str">
        <f t="shared" si="20"/>
        <v>Responder</v>
      </c>
    </row>
    <row r="534" ht="22.5" customHeight="1">
      <c r="A534" s="3" t="s">
        <v>549</v>
      </c>
      <c r="B534" s="4">
        <v>57.0</v>
      </c>
      <c r="C534" s="3" t="s">
        <v>21</v>
      </c>
      <c r="D534" s="4">
        <v>119.87</v>
      </c>
      <c r="E534" s="4">
        <v>1.71</v>
      </c>
      <c r="F534" s="3" t="s">
        <v>12</v>
      </c>
      <c r="G534" s="3" t="s">
        <v>15</v>
      </c>
      <c r="H534" s="5">
        <f t="shared" si="19"/>
        <v>40.99381006</v>
      </c>
      <c r="I534" s="5">
        <f t="array" ref="I534">XLOOKUP(A534,protein_data!A:A,protein_data!B:B,"")</f>
        <v>86</v>
      </c>
      <c r="J534" s="5" t="str">
        <f t="shared" si="20"/>
        <v>Responder</v>
      </c>
    </row>
    <row r="535" ht="22.5" customHeight="1">
      <c r="A535" s="3" t="s">
        <v>550</v>
      </c>
      <c r="B535" s="4">
        <v>73.0</v>
      </c>
      <c r="C535" s="3" t="s">
        <v>21</v>
      </c>
      <c r="D535" s="4">
        <v>99.75</v>
      </c>
      <c r="E535" s="4">
        <v>1.84</v>
      </c>
      <c r="F535" s="3" t="s">
        <v>12</v>
      </c>
      <c r="G535" s="3" t="s">
        <v>15</v>
      </c>
      <c r="H535" s="5">
        <f t="shared" si="19"/>
        <v>29.46301985</v>
      </c>
      <c r="I535" s="5">
        <f t="array" ref="I535">XLOOKUP(A535,protein_data!A:A,protein_data!B:B,"")</f>
        <v>91</v>
      </c>
      <c r="J535" s="5" t="str">
        <f t="shared" si="20"/>
        <v>Responder</v>
      </c>
    </row>
    <row r="536" ht="22.5" customHeight="1">
      <c r="A536" s="3" t="s">
        <v>551</v>
      </c>
      <c r="B536" s="4">
        <v>55.0</v>
      </c>
      <c r="C536" s="3" t="s">
        <v>21</v>
      </c>
      <c r="D536" s="4">
        <v>99.93</v>
      </c>
      <c r="E536" s="4">
        <v>1.74</v>
      </c>
      <c r="F536" s="3" t="s">
        <v>12</v>
      </c>
      <c r="G536" s="3" t="s">
        <v>15</v>
      </c>
      <c r="H536" s="5">
        <f t="shared" si="19"/>
        <v>33.00634166</v>
      </c>
      <c r="I536" s="5">
        <f t="array" ref="I536">XLOOKUP(A536,protein_data!A:A,protein_data!B:B,"")</f>
        <v>77</v>
      </c>
      <c r="J536" s="5" t="str">
        <f t="shared" si="20"/>
        <v>Responder</v>
      </c>
    </row>
    <row r="537" ht="22.5" customHeight="1">
      <c r="A537" s="3" t="s">
        <v>552</v>
      </c>
      <c r="B537" s="4">
        <v>67.0</v>
      </c>
      <c r="C537" s="3" t="s">
        <v>11</v>
      </c>
      <c r="D537" s="4">
        <v>84.7</v>
      </c>
      <c r="E537" s="4">
        <v>1.6</v>
      </c>
      <c r="F537" s="3" t="s">
        <v>12</v>
      </c>
      <c r="G537" s="3" t="s">
        <v>13</v>
      </c>
      <c r="H537" s="5">
        <f t="shared" si="19"/>
        <v>33.0859375</v>
      </c>
      <c r="I537" s="5">
        <f t="array" ref="I537">XLOOKUP(A537,protein_data!A:A,protein_data!B:B,"")</f>
        <v>132</v>
      </c>
      <c r="J537" s="5" t="str">
        <f t="shared" si="20"/>
        <v>Non-Responder</v>
      </c>
    </row>
    <row r="538" ht="22.5" customHeight="1">
      <c r="A538" s="3" t="s">
        <v>553</v>
      </c>
      <c r="B538" s="4">
        <v>53.0</v>
      </c>
      <c r="C538" s="3" t="s">
        <v>11</v>
      </c>
      <c r="D538" s="4">
        <v>85.27</v>
      </c>
      <c r="E538" s="4">
        <v>1.7</v>
      </c>
      <c r="F538" s="3" t="s">
        <v>12</v>
      </c>
      <c r="G538" s="3" t="s">
        <v>15</v>
      </c>
      <c r="H538" s="5">
        <f t="shared" si="19"/>
        <v>29.50519031</v>
      </c>
      <c r="I538" s="5">
        <f t="array" ref="I538">XLOOKUP(A538,protein_data!A:A,protein_data!B:B,"")</f>
        <v>105</v>
      </c>
      <c r="J538" s="5" t="str">
        <f t="shared" si="20"/>
        <v>Responder</v>
      </c>
    </row>
    <row r="539" ht="22.5" customHeight="1">
      <c r="A539" s="3" t="s">
        <v>554</v>
      </c>
      <c r="B539" s="4">
        <v>55.0</v>
      </c>
      <c r="C539" s="3" t="s">
        <v>11</v>
      </c>
      <c r="D539" s="4">
        <v>59.14</v>
      </c>
      <c r="E539" s="4">
        <v>1.65</v>
      </c>
      <c r="F539" s="3" t="s">
        <v>17</v>
      </c>
      <c r="G539" s="3" t="s">
        <v>15</v>
      </c>
      <c r="H539" s="5">
        <f t="shared" si="19"/>
        <v>21.72268136</v>
      </c>
      <c r="I539" s="5">
        <f t="array" ref="I539">XLOOKUP(A539,protein_data!A:A,protein_data!B:B,"")</f>
        <v>57</v>
      </c>
      <c r="J539" s="5" t="str">
        <f t="shared" si="20"/>
        <v>Responder</v>
      </c>
    </row>
    <row r="540" ht="22.5" customHeight="1">
      <c r="A540" s="3" t="s">
        <v>555</v>
      </c>
      <c r="B540" s="4">
        <v>70.0</v>
      </c>
      <c r="C540" s="3" t="s">
        <v>21</v>
      </c>
      <c r="D540" s="4">
        <v>102.9</v>
      </c>
      <c r="E540" s="4">
        <v>1.69</v>
      </c>
      <c r="F540" s="3" t="s">
        <v>17</v>
      </c>
      <c r="G540" s="3" t="s">
        <v>13</v>
      </c>
      <c r="H540" s="5">
        <f t="shared" si="19"/>
        <v>36.02815027</v>
      </c>
      <c r="I540" s="5">
        <f t="array" ref="I540">XLOOKUP(A540,protein_data!A:A,protein_data!B:B,"")</f>
        <v>127</v>
      </c>
      <c r="J540" s="5" t="str">
        <f t="shared" si="20"/>
        <v>Non-Responder</v>
      </c>
    </row>
    <row r="541" ht="22.5" customHeight="1">
      <c r="A541" s="3" t="s">
        <v>556</v>
      </c>
      <c r="B541" s="4">
        <v>58.0</v>
      </c>
      <c r="C541" s="3" t="s">
        <v>21</v>
      </c>
      <c r="D541" s="4">
        <v>103.93</v>
      </c>
      <c r="E541" s="4">
        <v>1.7</v>
      </c>
      <c r="F541" s="3" t="s">
        <v>12</v>
      </c>
      <c r="G541" s="3" t="s">
        <v>13</v>
      </c>
      <c r="H541" s="5">
        <f t="shared" si="19"/>
        <v>35.96193772</v>
      </c>
      <c r="I541" s="5">
        <f t="array" ref="I541">XLOOKUP(A541,protein_data!A:A,protein_data!B:B,"")</f>
        <v>129</v>
      </c>
      <c r="J541" s="5" t="str">
        <f t="shared" si="20"/>
        <v>Non-Responder</v>
      </c>
    </row>
    <row r="542" ht="22.5" customHeight="1">
      <c r="A542" s="3" t="s">
        <v>557</v>
      </c>
      <c r="B542" s="4">
        <v>65.0</v>
      </c>
      <c r="C542" s="3" t="s">
        <v>11</v>
      </c>
      <c r="D542" s="4">
        <v>101.68</v>
      </c>
      <c r="E542" s="4">
        <v>1.61</v>
      </c>
      <c r="F542" s="3" t="s">
        <v>12</v>
      </c>
      <c r="G542" s="3" t="s">
        <v>15</v>
      </c>
      <c r="H542" s="5">
        <f t="shared" si="19"/>
        <v>39.22688168</v>
      </c>
      <c r="I542" s="5">
        <f t="array" ref="I542">XLOOKUP(A542,protein_data!A:A,protein_data!B:B,"")</f>
        <v>100</v>
      </c>
      <c r="J542" s="5" t="str">
        <f t="shared" si="20"/>
        <v>Responder</v>
      </c>
    </row>
    <row r="543" ht="22.5" customHeight="1">
      <c r="A543" s="3" t="s">
        <v>558</v>
      </c>
      <c r="B543" s="4">
        <v>58.0</v>
      </c>
      <c r="C543" s="3" t="s">
        <v>21</v>
      </c>
      <c r="D543" s="4">
        <v>102.38</v>
      </c>
      <c r="E543" s="4">
        <v>1.78</v>
      </c>
      <c r="F543" s="3" t="s">
        <v>17</v>
      </c>
      <c r="G543" s="3" t="s">
        <v>13</v>
      </c>
      <c r="H543" s="5">
        <f t="shared" si="19"/>
        <v>32.31283929</v>
      </c>
      <c r="I543" s="5">
        <f t="array" ref="I543">XLOOKUP(A543,protein_data!A:A,protein_data!B:B,"")</f>
        <v>128</v>
      </c>
      <c r="J543" s="5" t="str">
        <f t="shared" si="20"/>
        <v>Non-Responder</v>
      </c>
    </row>
    <row r="544" ht="22.5" customHeight="1">
      <c r="A544" s="3" t="s">
        <v>559</v>
      </c>
      <c r="B544" s="4">
        <v>56.0</v>
      </c>
      <c r="C544" s="3" t="s">
        <v>11</v>
      </c>
      <c r="D544" s="4">
        <v>89.14</v>
      </c>
      <c r="E544" s="4">
        <v>1.6</v>
      </c>
      <c r="F544" s="3" t="s">
        <v>17</v>
      </c>
      <c r="G544" s="3" t="s">
        <v>15</v>
      </c>
      <c r="H544" s="5">
        <f t="shared" si="19"/>
        <v>34.8203125</v>
      </c>
      <c r="I544" s="5">
        <f t="array" ref="I544">XLOOKUP(A544,protein_data!A:A,protein_data!B:B,"")</f>
        <v>90</v>
      </c>
      <c r="J544" s="5" t="str">
        <f t="shared" si="20"/>
        <v>Responder</v>
      </c>
    </row>
    <row r="545" ht="22.5" customHeight="1">
      <c r="A545" s="3" t="s">
        <v>560</v>
      </c>
      <c r="B545" s="4">
        <v>64.0</v>
      </c>
      <c r="C545" s="3" t="s">
        <v>11</v>
      </c>
      <c r="D545" s="4">
        <v>98.62</v>
      </c>
      <c r="E545" s="4">
        <v>1.58</v>
      </c>
      <c r="F545" s="3" t="s">
        <v>12</v>
      </c>
      <c r="G545" s="3" t="s">
        <v>15</v>
      </c>
      <c r="H545" s="5">
        <f t="shared" si="19"/>
        <v>39.50488704</v>
      </c>
      <c r="I545" s="5">
        <f t="array" ref="I545">XLOOKUP(A545,protein_data!A:A,protein_data!B:B,"")</f>
        <v>84</v>
      </c>
      <c r="J545" s="5" t="str">
        <f t="shared" si="20"/>
        <v>Responder</v>
      </c>
    </row>
    <row r="546" ht="22.5" customHeight="1">
      <c r="A546" s="3" t="s">
        <v>561</v>
      </c>
      <c r="B546" s="4">
        <v>63.0</v>
      </c>
      <c r="C546" s="3" t="s">
        <v>21</v>
      </c>
      <c r="D546" s="4">
        <v>91.42</v>
      </c>
      <c r="E546" s="4">
        <v>1.7</v>
      </c>
      <c r="F546" s="3" t="s">
        <v>12</v>
      </c>
      <c r="G546" s="3" t="s">
        <v>15</v>
      </c>
      <c r="H546" s="5">
        <f t="shared" si="19"/>
        <v>31.63321799</v>
      </c>
      <c r="I546" s="5">
        <f t="array" ref="I546">XLOOKUP(A546,protein_data!A:A,protein_data!B:B,"")</f>
        <v>88</v>
      </c>
      <c r="J546" s="5" t="str">
        <f t="shared" si="20"/>
        <v>Responder</v>
      </c>
    </row>
    <row r="547" ht="22.5" customHeight="1">
      <c r="A547" s="3" t="s">
        <v>562</v>
      </c>
      <c r="B547" s="4">
        <v>63.0</v>
      </c>
      <c r="C547" s="3" t="s">
        <v>11</v>
      </c>
      <c r="D547" s="4">
        <v>86.55</v>
      </c>
      <c r="E547" s="4">
        <v>1.58</v>
      </c>
      <c r="F547" s="3" t="s">
        <v>12</v>
      </c>
      <c r="G547" s="3" t="s">
        <v>13</v>
      </c>
      <c r="H547" s="5">
        <f t="shared" si="19"/>
        <v>34.66992469</v>
      </c>
      <c r="I547" s="5">
        <f t="array" ref="I547">XLOOKUP(A547,protein_data!A:A,protein_data!B:B,"")</f>
        <v>186</v>
      </c>
      <c r="J547" s="5" t="str">
        <f t="shared" si="20"/>
        <v>Non-Responder</v>
      </c>
    </row>
    <row r="548" ht="22.5" customHeight="1">
      <c r="A548" s="3" t="s">
        <v>563</v>
      </c>
      <c r="B548" s="4">
        <v>55.0</v>
      </c>
      <c r="C548" s="3" t="s">
        <v>11</v>
      </c>
      <c r="D548" s="4">
        <v>102.42</v>
      </c>
      <c r="E548" s="4">
        <v>1.53</v>
      </c>
      <c r="F548" s="3" t="s">
        <v>17</v>
      </c>
      <c r="G548" s="3" t="s">
        <v>15</v>
      </c>
      <c r="H548" s="5">
        <f t="shared" si="19"/>
        <v>43.75240292</v>
      </c>
      <c r="I548" s="5">
        <f t="array" ref="I548">XLOOKUP(A548,protein_data!A:A,protein_data!B:B,"")</f>
        <v>187</v>
      </c>
      <c r="J548" s="5" t="str">
        <f t="shared" si="20"/>
        <v>Responder</v>
      </c>
    </row>
    <row r="549" ht="22.5" customHeight="1">
      <c r="A549" s="3" t="s">
        <v>564</v>
      </c>
      <c r="B549" s="4">
        <v>47.0</v>
      </c>
      <c r="C549" s="3" t="s">
        <v>11</v>
      </c>
      <c r="D549" s="4">
        <v>79.32</v>
      </c>
      <c r="E549" s="4">
        <v>1.55</v>
      </c>
      <c r="F549" s="3" t="s">
        <v>12</v>
      </c>
      <c r="G549" s="3" t="s">
        <v>13</v>
      </c>
      <c r="H549" s="5">
        <f t="shared" si="19"/>
        <v>33.01560874</v>
      </c>
      <c r="I549" s="5">
        <f t="array" ref="I549">XLOOKUP(A549,protein_data!A:A,protein_data!B:B,"")</f>
        <v>131</v>
      </c>
      <c r="J549" s="5" t="str">
        <f t="shared" si="20"/>
        <v>Non-Responder</v>
      </c>
    </row>
    <row r="550" ht="22.5" customHeight="1">
      <c r="A550" s="3" t="s">
        <v>565</v>
      </c>
      <c r="B550" s="4">
        <v>57.0</v>
      </c>
      <c r="C550" s="3" t="s">
        <v>11</v>
      </c>
      <c r="D550" s="4">
        <v>83.06</v>
      </c>
      <c r="E550" s="4">
        <v>1.59</v>
      </c>
      <c r="F550" s="3" t="s">
        <v>12</v>
      </c>
      <c r="G550" s="3" t="s">
        <v>13</v>
      </c>
      <c r="H550" s="5">
        <f t="shared" si="19"/>
        <v>32.85471303</v>
      </c>
      <c r="I550" s="5">
        <f t="array" ref="I550">XLOOKUP(A550,protein_data!A:A,protein_data!B:B,"")</f>
        <v>164</v>
      </c>
      <c r="J550" s="5" t="str">
        <f t="shared" si="20"/>
        <v>Non-Responder</v>
      </c>
    </row>
    <row r="551" ht="22.5" customHeight="1">
      <c r="A551" s="3" t="s">
        <v>566</v>
      </c>
      <c r="B551" s="4">
        <v>68.0</v>
      </c>
      <c r="C551" s="3" t="s">
        <v>21</v>
      </c>
      <c r="D551" s="4">
        <v>82.93</v>
      </c>
      <c r="E551" s="4">
        <v>1.71</v>
      </c>
      <c r="F551" s="3" t="s">
        <v>17</v>
      </c>
      <c r="G551" s="3" t="s">
        <v>13</v>
      </c>
      <c r="H551" s="5">
        <f t="shared" si="19"/>
        <v>28.36086317</v>
      </c>
      <c r="I551" s="5">
        <f t="array" ref="I551">XLOOKUP(A551,protein_data!A:A,protein_data!B:B,"")</f>
        <v>189</v>
      </c>
      <c r="J551" s="5" t="str">
        <f t="shared" si="20"/>
        <v>Non-Responder</v>
      </c>
    </row>
    <row r="552" ht="22.5" customHeight="1">
      <c r="A552" s="3" t="s">
        <v>567</v>
      </c>
      <c r="B552" s="4">
        <v>69.0</v>
      </c>
      <c r="C552" s="3" t="s">
        <v>21</v>
      </c>
      <c r="D552" s="4">
        <v>88.61</v>
      </c>
      <c r="E552" s="4">
        <v>1.81</v>
      </c>
      <c r="F552" s="3" t="s">
        <v>17</v>
      </c>
      <c r="G552" s="3" t="s">
        <v>15</v>
      </c>
      <c r="H552" s="5">
        <f t="shared" si="19"/>
        <v>27.04740393</v>
      </c>
      <c r="I552" s="5">
        <f t="array" ref="I552">XLOOKUP(A552,protein_data!A:A,protein_data!B:B,"")</f>
        <v>116</v>
      </c>
      <c r="J552" s="5" t="str">
        <f t="shared" si="20"/>
        <v>Responder</v>
      </c>
    </row>
    <row r="553" ht="22.5" customHeight="1">
      <c r="A553" s="3" t="s">
        <v>568</v>
      </c>
      <c r="B553" s="4">
        <v>61.0</v>
      </c>
      <c r="C553" s="3" t="s">
        <v>11</v>
      </c>
      <c r="D553" s="4">
        <v>87.89</v>
      </c>
      <c r="E553" s="4">
        <v>1.66</v>
      </c>
      <c r="F553" s="3" t="s">
        <v>17</v>
      </c>
      <c r="G553" s="3" t="s">
        <v>15</v>
      </c>
      <c r="H553" s="5">
        <f t="shared" si="19"/>
        <v>31.89505008</v>
      </c>
      <c r="I553" s="5">
        <f t="array" ref="I553">XLOOKUP(A553,protein_data!A:A,protein_data!B:B,"")</f>
        <v>84</v>
      </c>
      <c r="J553" s="5" t="str">
        <f t="shared" si="20"/>
        <v>Responder</v>
      </c>
    </row>
    <row r="554" ht="22.5" customHeight="1">
      <c r="A554" s="3" t="s">
        <v>569</v>
      </c>
      <c r="B554" s="4">
        <v>61.0</v>
      </c>
      <c r="C554" s="3" t="s">
        <v>21</v>
      </c>
      <c r="D554" s="4">
        <v>89.22</v>
      </c>
      <c r="E554" s="4">
        <v>1.8</v>
      </c>
      <c r="F554" s="3" t="s">
        <v>12</v>
      </c>
      <c r="G554" s="3" t="s">
        <v>15</v>
      </c>
      <c r="H554" s="5">
        <f t="shared" si="19"/>
        <v>27.53703704</v>
      </c>
      <c r="I554" s="5">
        <f t="array" ref="I554">XLOOKUP(A554,protein_data!A:A,protein_data!B:B,"")</f>
        <v>114</v>
      </c>
      <c r="J554" s="5" t="str">
        <f t="shared" si="20"/>
        <v>Responder</v>
      </c>
    </row>
    <row r="555" ht="22.5" customHeight="1">
      <c r="A555" s="3" t="s">
        <v>570</v>
      </c>
      <c r="B555" s="4">
        <v>56.0</v>
      </c>
      <c r="C555" s="3" t="s">
        <v>11</v>
      </c>
      <c r="D555" s="4">
        <v>77.87</v>
      </c>
      <c r="E555" s="4">
        <v>1.61</v>
      </c>
      <c r="F555" s="3" t="s">
        <v>12</v>
      </c>
      <c r="G555" s="3" t="s">
        <v>15</v>
      </c>
      <c r="H555" s="5">
        <f t="shared" si="19"/>
        <v>30.04127927</v>
      </c>
      <c r="I555" s="5">
        <f t="array" ref="I555">XLOOKUP(A555,protein_data!A:A,protein_data!B:B,"")</f>
        <v>88</v>
      </c>
      <c r="J555" s="5" t="str">
        <f t="shared" si="20"/>
        <v>Responder</v>
      </c>
    </row>
    <row r="556" ht="22.5" customHeight="1">
      <c r="A556" s="3" t="s">
        <v>571</v>
      </c>
      <c r="B556" s="4">
        <v>54.0</v>
      </c>
      <c r="C556" s="3" t="s">
        <v>11</v>
      </c>
      <c r="D556" s="4">
        <v>86.84</v>
      </c>
      <c r="E556" s="4">
        <v>1.53</v>
      </c>
      <c r="F556" s="3" t="s">
        <v>17</v>
      </c>
      <c r="G556" s="3" t="s">
        <v>13</v>
      </c>
      <c r="H556" s="5">
        <f t="shared" si="19"/>
        <v>37.09684309</v>
      </c>
      <c r="I556" s="5">
        <f t="array" ref="I556">XLOOKUP(A556,protein_data!A:A,protein_data!B:B,"")</f>
        <v>84</v>
      </c>
      <c r="J556" s="5" t="str">
        <f t="shared" si="20"/>
        <v>Non-Responder</v>
      </c>
    </row>
    <row r="557" ht="22.5" customHeight="1">
      <c r="A557" s="3" t="s">
        <v>572</v>
      </c>
      <c r="B557" s="4">
        <v>68.0</v>
      </c>
      <c r="C557" s="3" t="s">
        <v>11</v>
      </c>
      <c r="D557" s="4">
        <v>62.2</v>
      </c>
      <c r="E557" s="4">
        <v>1.56</v>
      </c>
      <c r="F557" s="3" t="s">
        <v>12</v>
      </c>
      <c r="G557" s="3" t="s">
        <v>13</v>
      </c>
      <c r="H557" s="5">
        <f t="shared" si="19"/>
        <v>25.55884287</v>
      </c>
      <c r="I557" s="5">
        <f t="array" ref="I557">XLOOKUP(A557,protein_data!A:A,protein_data!B:B,"")</f>
        <v>124</v>
      </c>
      <c r="J557" s="5" t="str">
        <f t="shared" si="20"/>
        <v>Non-Responder</v>
      </c>
    </row>
    <row r="558" ht="22.5" customHeight="1">
      <c r="A558" s="3" t="s">
        <v>573</v>
      </c>
      <c r="B558" s="4">
        <v>69.0</v>
      </c>
      <c r="C558" s="3" t="s">
        <v>21</v>
      </c>
      <c r="D558" s="4">
        <v>106.35</v>
      </c>
      <c r="E558" s="4">
        <v>1.68</v>
      </c>
      <c r="F558" s="3" t="s">
        <v>12</v>
      </c>
      <c r="G558" s="3" t="s">
        <v>15</v>
      </c>
      <c r="H558" s="5">
        <f t="shared" si="19"/>
        <v>37.68069728</v>
      </c>
      <c r="I558" s="5">
        <f t="array" ref="I558">XLOOKUP(A558,protein_data!A:A,protein_data!B:B,"")</f>
        <v>97</v>
      </c>
      <c r="J558" s="5" t="str">
        <f t="shared" si="20"/>
        <v>Responder</v>
      </c>
    </row>
    <row r="559" ht="22.5" customHeight="1">
      <c r="A559" s="3" t="s">
        <v>574</v>
      </c>
      <c r="B559" s="4">
        <v>63.0</v>
      </c>
      <c r="C559" s="3" t="s">
        <v>21</v>
      </c>
      <c r="D559" s="4">
        <v>81.87</v>
      </c>
      <c r="E559" s="4">
        <v>1.72</v>
      </c>
      <c r="F559" s="3" t="s">
        <v>17</v>
      </c>
      <c r="G559" s="3" t="s">
        <v>15</v>
      </c>
      <c r="H559" s="5">
        <f t="shared" si="19"/>
        <v>27.67374256</v>
      </c>
      <c r="I559" s="5">
        <f t="array" ref="I559">XLOOKUP(A559,protein_data!A:A,protein_data!B:B,"")</f>
        <v>110</v>
      </c>
      <c r="J559" s="5" t="str">
        <f t="shared" si="20"/>
        <v>Responder</v>
      </c>
    </row>
    <row r="560" ht="22.5" customHeight="1">
      <c r="A560" s="3" t="s">
        <v>575</v>
      </c>
      <c r="B560" s="4">
        <v>68.0</v>
      </c>
      <c r="C560" s="3" t="s">
        <v>21</v>
      </c>
      <c r="D560" s="4">
        <v>134.22</v>
      </c>
      <c r="E560" s="4">
        <v>1.71</v>
      </c>
      <c r="F560" s="3" t="s">
        <v>17</v>
      </c>
      <c r="G560" s="3" t="s">
        <v>15</v>
      </c>
      <c r="H560" s="5">
        <f t="shared" si="19"/>
        <v>45.90130297</v>
      </c>
      <c r="I560" s="5">
        <f t="array" ref="I560">XLOOKUP(A560,protein_data!A:A,protein_data!B:B,"")</f>
        <v>103</v>
      </c>
      <c r="J560" s="5" t="str">
        <f t="shared" si="20"/>
        <v>Responder</v>
      </c>
    </row>
    <row r="561" ht="22.5" customHeight="1">
      <c r="A561" s="3" t="s">
        <v>576</v>
      </c>
      <c r="B561" s="4">
        <v>54.0</v>
      </c>
      <c r="C561" s="3" t="s">
        <v>21</v>
      </c>
      <c r="D561" s="4">
        <v>94.55</v>
      </c>
      <c r="E561" s="4">
        <v>1.78</v>
      </c>
      <c r="F561" s="3" t="s">
        <v>17</v>
      </c>
      <c r="G561" s="3" t="s">
        <v>15</v>
      </c>
      <c r="H561" s="5">
        <f t="shared" si="19"/>
        <v>29.84156041</v>
      </c>
      <c r="I561" s="5">
        <f t="array" ref="I561">XLOOKUP(A561,protein_data!A:A,protein_data!B:B,"")</f>
        <v>85</v>
      </c>
      <c r="J561" s="5" t="str">
        <f t="shared" si="20"/>
        <v>Responder</v>
      </c>
    </row>
    <row r="562" ht="22.5" customHeight="1">
      <c r="A562" s="3" t="s">
        <v>577</v>
      </c>
      <c r="B562" s="4">
        <v>64.0</v>
      </c>
      <c r="C562" s="3" t="s">
        <v>11</v>
      </c>
      <c r="D562" s="4">
        <v>84.25</v>
      </c>
      <c r="E562" s="4">
        <v>1.58</v>
      </c>
      <c r="F562" s="3" t="s">
        <v>17</v>
      </c>
      <c r="G562" s="3" t="s">
        <v>13</v>
      </c>
      <c r="H562" s="5">
        <f t="shared" si="19"/>
        <v>33.74859798</v>
      </c>
      <c r="I562" s="5">
        <f t="array" ref="I562">XLOOKUP(A562,protein_data!A:A,protein_data!B:B,"")</f>
        <v>125</v>
      </c>
      <c r="J562" s="5" t="str">
        <f t="shared" si="20"/>
        <v>Non-Responder</v>
      </c>
    </row>
    <row r="563" ht="22.5" customHeight="1">
      <c r="A563" s="3" t="s">
        <v>578</v>
      </c>
      <c r="B563" s="4">
        <v>69.0</v>
      </c>
      <c r="C563" s="3" t="s">
        <v>11</v>
      </c>
      <c r="D563" s="4">
        <v>94.76</v>
      </c>
      <c r="E563" s="4">
        <v>1.51</v>
      </c>
      <c r="F563" s="3" t="s">
        <v>17</v>
      </c>
      <c r="G563" s="3" t="s">
        <v>13</v>
      </c>
      <c r="H563" s="5">
        <f t="shared" si="19"/>
        <v>41.55958072</v>
      </c>
      <c r="I563" s="5">
        <f t="array" ref="I563">XLOOKUP(A563,protein_data!A:A,protein_data!B:B,"")</f>
        <v>198</v>
      </c>
      <c r="J563" s="5" t="str">
        <f t="shared" si="20"/>
        <v>Non-Responder</v>
      </c>
    </row>
    <row r="564" ht="22.5" customHeight="1">
      <c r="A564" s="3" t="s">
        <v>579</v>
      </c>
      <c r="B564" s="4">
        <v>56.0</v>
      </c>
      <c r="C564" s="3" t="s">
        <v>11</v>
      </c>
      <c r="D564" s="4">
        <v>102.19</v>
      </c>
      <c r="E564" s="4">
        <v>1.65</v>
      </c>
      <c r="F564" s="3" t="s">
        <v>17</v>
      </c>
      <c r="G564" s="3" t="s">
        <v>15</v>
      </c>
      <c r="H564" s="5">
        <f t="shared" si="19"/>
        <v>37.53535354</v>
      </c>
      <c r="I564" s="5">
        <f t="array" ref="I564">XLOOKUP(A564,protein_data!A:A,protein_data!B:B,"")</f>
        <v>87</v>
      </c>
      <c r="J564" s="5" t="str">
        <f t="shared" si="20"/>
        <v>Responder</v>
      </c>
    </row>
    <row r="565" ht="22.5" customHeight="1">
      <c r="A565" s="3" t="s">
        <v>580</v>
      </c>
      <c r="B565" s="4">
        <v>66.0</v>
      </c>
      <c r="C565" s="3" t="s">
        <v>11</v>
      </c>
      <c r="D565" s="4">
        <v>70.2</v>
      </c>
      <c r="E565" s="4">
        <v>1.62</v>
      </c>
      <c r="F565" s="3" t="s">
        <v>17</v>
      </c>
      <c r="G565" s="3" t="s">
        <v>13</v>
      </c>
      <c r="H565" s="5">
        <f t="shared" si="19"/>
        <v>26.74897119</v>
      </c>
      <c r="I565" s="5">
        <f t="array" ref="I565">XLOOKUP(A565,protein_data!A:A,protein_data!B:B,"")</f>
        <v>99</v>
      </c>
      <c r="J565" s="5" t="str">
        <f t="shared" si="20"/>
        <v>Non-Responder</v>
      </c>
    </row>
    <row r="566" ht="22.5" customHeight="1">
      <c r="A566" s="3" t="s">
        <v>581</v>
      </c>
      <c r="B566" s="4">
        <v>58.0</v>
      </c>
      <c r="C566" s="3" t="s">
        <v>11</v>
      </c>
      <c r="D566" s="4">
        <v>84.2</v>
      </c>
      <c r="E566" s="4">
        <v>1.61</v>
      </c>
      <c r="F566" s="3" t="s">
        <v>17</v>
      </c>
      <c r="G566" s="3" t="s">
        <v>13</v>
      </c>
      <c r="H566" s="5">
        <f t="shared" si="19"/>
        <v>32.48331469</v>
      </c>
      <c r="I566" s="5">
        <f t="array" ref="I566">XLOOKUP(A566,protein_data!A:A,protein_data!B:B,"")</f>
        <v>91</v>
      </c>
      <c r="J566" s="5" t="str">
        <f t="shared" si="20"/>
        <v>Non-Responder</v>
      </c>
    </row>
    <row r="567" ht="22.5" customHeight="1">
      <c r="A567" s="3" t="s">
        <v>582</v>
      </c>
      <c r="B567" s="4">
        <v>62.0</v>
      </c>
      <c r="C567" s="3" t="s">
        <v>11</v>
      </c>
      <c r="D567" s="4">
        <v>66.06</v>
      </c>
      <c r="E567" s="4">
        <v>1.59</v>
      </c>
      <c r="F567" s="3" t="s">
        <v>12</v>
      </c>
      <c r="G567" s="3" t="s">
        <v>15</v>
      </c>
      <c r="H567" s="5">
        <f t="shared" si="19"/>
        <v>26.13029548</v>
      </c>
      <c r="I567" s="5">
        <f t="array" ref="I567">XLOOKUP(A567,protein_data!A:A,protein_data!B:B,"")</f>
        <v>95</v>
      </c>
      <c r="J567" s="5" t="str">
        <f t="shared" si="20"/>
        <v>Responder</v>
      </c>
    </row>
    <row r="568" ht="22.5" customHeight="1">
      <c r="A568" s="3" t="s">
        <v>583</v>
      </c>
      <c r="B568" s="4">
        <v>69.0</v>
      </c>
      <c r="C568" s="3" t="s">
        <v>21</v>
      </c>
      <c r="D568" s="4">
        <v>121.94</v>
      </c>
      <c r="E568" s="4">
        <v>1.78</v>
      </c>
      <c r="F568" s="3" t="s">
        <v>12</v>
      </c>
      <c r="G568" s="3" t="s">
        <v>15</v>
      </c>
      <c r="H568" s="5">
        <f t="shared" si="19"/>
        <v>38.48630223</v>
      </c>
      <c r="I568" s="5">
        <f t="array" ref="I568">XLOOKUP(A568,protein_data!A:A,protein_data!B:B,"")</f>
        <v>99</v>
      </c>
      <c r="J568" s="5" t="str">
        <f t="shared" si="20"/>
        <v>Responder</v>
      </c>
    </row>
    <row r="569" ht="22.5" customHeight="1">
      <c r="A569" s="3" t="s">
        <v>584</v>
      </c>
      <c r="B569" s="4">
        <v>56.0</v>
      </c>
      <c r="C569" s="3" t="s">
        <v>11</v>
      </c>
      <c r="D569" s="4">
        <v>79.44</v>
      </c>
      <c r="E569" s="4">
        <v>1.58</v>
      </c>
      <c r="F569" s="3" t="s">
        <v>12</v>
      </c>
      <c r="G569" s="3" t="s">
        <v>15</v>
      </c>
      <c r="H569" s="5">
        <f t="shared" si="19"/>
        <v>31.82182343</v>
      </c>
      <c r="I569" s="5">
        <f t="array" ref="I569">XLOOKUP(A569,protein_data!A:A,protein_data!B:B,"")</f>
        <v>92</v>
      </c>
      <c r="J569" s="5" t="str">
        <f t="shared" si="20"/>
        <v>Responder</v>
      </c>
    </row>
    <row r="570" ht="22.5" customHeight="1">
      <c r="A570" s="3" t="s">
        <v>585</v>
      </c>
      <c r="B570" s="4">
        <v>63.0</v>
      </c>
      <c r="C570" s="3" t="s">
        <v>21</v>
      </c>
      <c r="D570" s="4">
        <v>100.2</v>
      </c>
      <c r="E570" s="4">
        <v>1.8</v>
      </c>
      <c r="F570" s="3" t="s">
        <v>17</v>
      </c>
      <c r="G570" s="3" t="s">
        <v>13</v>
      </c>
      <c r="H570" s="5">
        <f t="shared" si="19"/>
        <v>30.92592593</v>
      </c>
      <c r="I570" s="5">
        <f t="array" ref="I570">XLOOKUP(A570,protein_data!A:A,protein_data!B:B,"")</f>
        <v>154</v>
      </c>
      <c r="J570" s="5" t="str">
        <f t="shared" si="20"/>
        <v>Non-Responder</v>
      </c>
    </row>
    <row r="571" ht="22.5" customHeight="1">
      <c r="A571" s="3" t="s">
        <v>586</v>
      </c>
      <c r="B571" s="4">
        <v>58.0</v>
      </c>
      <c r="C571" s="3" t="s">
        <v>11</v>
      </c>
      <c r="D571" s="4">
        <v>91.18</v>
      </c>
      <c r="E571" s="4">
        <v>1.63</v>
      </c>
      <c r="F571" s="3" t="s">
        <v>17</v>
      </c>
      <c r="G571" s="3" t="s">
        <v>13</v>
      </c>
      <c r="H571" s="5">
        <f t="shared" si="19"/>
        <v>34.31819037</v>
      </c>
      <c r="I571" s="5">
        <f t="array" ref="I571">XLOOKUP(A571,protein_data!A:A,protein_data!B:B,"")</f>
        <v>121</v>
      </c>
      <c r="J571" s="5" t="str">
        <f t="shared" si="20"/>
        <v>Non-Responder</v>
      </c>
    </row>
    <row r="572" ht="22.5" customHeight="1">
      <c r="A572" s="3" t="s">
        <v>587</v>
      </c>
      <c r="B572" s="4">
        <v>45.0</v>
      </c>
      <c r="C572" s="3" t="s">
        <v>11</v>
      </c>
      <c r="D572" s="4">
        <v>80.38</v>
      </c>
      <c r="E572" s="4">
        <v>1.57</v>
      </c>
      <c r="F572" s="3" t="s">
        <v>12</v>
      </c>
      <c r="G572" s="3" t="s">
        <v>15</v>
      </c>
      <c r="H572" s="5">
        <f t="shared" si="19"/>
        <v>32.60984218</v>
      </c>
      <c r="I572" s="5">
        <f t="array" ref="I572">XLOOKUP(A572,protein_data!A:A,protein_data!B:B,"")</f>
        <v>78</v>
      </c>
      <c r="J572" s="5" t="str">
        <f t="shared" si="20"/>
        <v>Responder</v>
      </c>
    </row>
    <row r="573" ht="22.5" customHeight="1">
      <c r="A573" s="3" t="s">
        <v>588</v>
      </c>
      <c r="B573" s="4">
        <v>68.0</v>
      </c>
      <c r="C573" s="3" t="s">
        <v>21</v>
      </c>
      <c r="D573" s="4">
        <v>68.69</v>
      </c>
      <c r="E573" s="4">
        <v>1.75</v>
      </c>
      <c r="F573" s="3" t="s">
        <v>12</v>
      </c>
      <c r="G573" s="3" t="s">
        <v>13</v>
      </c>
      <c r="H573" s="5">
        <f t="shared" si="19"/>
        <v>22.42938776</v>
      </c>
      <c r="I573" s="5">
        <f t="array" ref="I573">XLOOKUP(A573,protein_data!A:A,protein_data!B:B,"")</f>
        <v>130</v>
      </c>
      <c r="J573" s="5" t="str">
        <f t="shared" si="20"/>
        <v>Non-Responder</v>
      </c>
    </row>
    <row r="574" ht="22.5" customHeight="1">
      <c r="A574" s="3" t="s">
        <v>589</v>
      </c>
      <c r="B574" s="4">
        <v>62.0</v>
      </c>
      <c r="C574" s="3" t="s">
        <v>21</v>
      </c>
      <c r="D574" s="4">
        <v>86.15</v>
      </c>
      <c r="E574" s="4">
        <v>1.72</v>
      </c>
      <c r="F574" s="3" t="s">
        <v>17</v>
      </c>
      <c r="G574" s="3" t="s">
        <v>13</v>
      </c>
      <c r="H574" s="5">
        <f t="shared" si="19"/>
        <v>29.12047052</v>
      </c>
      <c r="I574" s="5">
        <f t="array" ref="I574">XLOOKUP(A574,protein_data!A:A,protein_data!B:B,"")</f>
        <v>111</v>
      </c>
      <c r="J574" s="5" t="str">
        <f t="shared" si="20"/>
        <v>Non-Responder</v>
      </c>
    </row>
    <row r="575" ht="22.5" customHeight="1">
      <c r="A575" s="3" t="s">
        <v>590</v>
      </c>
      <c r="B575" s="4">
        <v>60.0</v>
      </c>
      <c r="C575" s="3" t="s">
        <v>11</v>
      </c>
      <c r="D575" s="4">
        <v>94.82</v>
      </c>
      <c r="E575" s="4">
        <v>1.65</v>
      </c>
      <c r="F575" s="3" t="s">
        <v>17</v>
      </c>
      <c r="G575" s="3" t="s">
        <v>13</v>
      </c>
      <c r="H575" s="5">
        <f t="shared" si="19"/>
        <v>34.82828283</v>
      </c>
      <c r="I575" s="5">
        <f t="array" ref="I575">XLOOKUP(A575,protein_data!A:A,protein_data!B:B,"")</f>
        <v>98</v>
      </c>
      <c r="J575" s="5" t="str">
        <f t="shared" si="20"/>
        <v>Non-Responder</v>
      </c>
    </row>
    <row r="576" ht="22.5" customHeight="1">
      <c r="A576" s="3" t="s">
        <v>591</v>
      </c>
      <c r="B576" s="4">
        <v>70.0</v>
      </c>
      <c r="C576" s="3" t="s">
        <v>11</v>
      </c>
      <c r="D576" s="4">
        <v>88.99</v>
      </c>
      <c r="E576" s="4">
        <v>1.72</v>
      </c>
      <c r="F576" s="3" t="s">
        <v>17</v>
      </c>
      <c r="G576" s="3" t="s">
        <v>13</v>
      </c>
      <c r="H576" s="5">
        <f t="shared" si="19"/>
        <v>30.08044889</v>
      </c>
      <c r="I576" s="5">
        <f t="array" ref="I576">XLOOKUP(A576,protein_data!A:A,protein_data!B:B,"")</f>
        <v>143</v>
      </c>
      <c r="J576" s="5" t="str">
        <f t="shared" si="20"/>
        <v>Non-Responder</v>
      </c>
    </row>
    <row r="577" ht="22.5" customHeight="1">
      <c r="A577" s="3" t="s">
        <v>592</v>
      </c>
      <c r="B577" s="4">
        <v>37.0</v>
      </c>
      <c r="C577" s="3" t="s">
        <v>11</v>
      </c>
      <c r="D577" s="4">
        <v>84.16</v>
      </c>
      <c r="E577" s="4">
        <v>1.54</v>
      </c>
      <c r="F577" s="3" t="s">
        <v>12</v>
      </c>
      <c r="G577" s="3" t="s">
        <v>15</v>
      </c>
      <c r="H577" s="5">
        <f t="shared" si="19"/>
        <v>35.48659133</v>
      </c>
      <c r="I577" s="5">
        <f t="array" ref="I577">XLOOKUP(A577,protein_data!A:A,protein_data!B:B,"")</f>
        <v>119</v>
      </c>
      <c r="J577" s="5" t="str">
        <f t="shared" si="20"/>
        <v>Responder</v>
      </c>
    </row>
    <row r="578" ht="22.5" customHeight="1">
      <c r="A578" s="3" t="s">
        <v>593</v>
      </c>
      <c r="B578" s="4">
        <v>59.0</v>
      </c>
      <c r="C578" s="3" t="s">
        <v>21</v>
      </c>
      <c r="D578" s="4">
        <v>71.72</v>
      </c>
      <c r="E578" s="4">
        <v>1.74</v>
      </c>
      <c r="F578" s="3" t="s">
        <v>17</v>
      </c>
      <c r="G578" s="3" t="s">
        <v>13</v>
      </c>
      <c r="H578" s="5">
        <f t="shared" si="19"/>
        <v>23.68873035</v>
      </c>
      <c r="I578" s="5">
        <f t="array" ref="I578">XLOOKUP(A578,protein_data!A:A,protein_data!B:B,"")</f>
        <v>108</v>
      </c>
      <c r="J578" s="5" t="str">
        <f t="shared" si="20"/>
        <v>Non-Responder</v>
      </c>
    </row>
    <row r="579" ht="22.5" customHeight="1">
      <c r="A579" s="3" t="s">
        <v>594</v>
      </c>
      <c r="B579" s="4">
        <v>63.0</v>
      </c>
      <c r="C579" s="3" t="s">
        <v>21</v>
      </c>
      <c r="D579" s="4">
        <v>124.17</v>
      </c>
      <c r="E579" s="4">
        <v>1.71</v>
      </c>
      <c r="F579" s="3" t="s">
        <v>17</v>
      </c>
      <c r="G579" s="3" t="s">
        <v>15</v>
      </c>
      <c r="H579" s="5">
        <f t="shared" si="19"/>
        <v>42.464348</v>
      </c>
      <c r="I579" s="5">
        <f t="array" ref="I579">XLOOKUP(A579,protein_data!A:A,protein_data!B:B,"")</f>
        <v>118</v>
      </c>
      <c r="J579" s="5" t="str">
        <f t="shared" si="20"/>
        <v>Responder</v>
      </c>
    </row>
    <row r="580" ht="22.5" customHeight="1">
      <c r="A580" s="3" t="s">
        <v>595</v>
      </c>
      <c r="B580" s="4">
        <v>47.0</v>
      </c>
      <c r="C580" s="3" t="s">
        <v>21</v>
      </c>
      <c r="D580" s="4">
        <v>87.21</v>
      </c>
      <c r="E580" s="4">
        <v>1.8</v>
      </c>
      <c r="F580" s="3" t="s">
        <v>12</v>
      </c>
      <c r="G580" s="3" t="s">
        <v>13</v>
      </c>
      <c r="H580" s="5">
        <f t="shared" si="19"/>
        <v>26.91666667</v>
      </c>
      <c r="I580" s="5">
        <f t="array" ref="I580">XLOOKUP(A580,protein_data!A:A,protein_data!B:B,"")</f>
        <v>133</v>
      </c>
      <c r="J580" s="5" t="str">
        <f t="shared" si="20"/>
        <v>Non-Responder</v>
      </c>
    </row>
    <row r="581" ht="22.5" customHeight="1">
      <c r="A581" s="3" t="s">
        <v>596</v>
      </c>
      <c r="B581" s="4">
        <v>54.0</v>
      </c>
      <c r="C581" s="3" t="s">
        <v>21</v>
      </c>
      <c r="D581" s="4">
        <v>112.42</v>
      </c>
      <c r="E581" s="4">
        <v>1.81</v>
      </c>
      <c r="F581" s="3" t="s">
        <v>12</v>
      </c>
      <c r="G581" s="3" t="s">
        <v>13</v>
      </c>
      <c r="H581" s="5">
        <f t="shared" si="19"/>
        <v>34.31519184</v>
      </c>
      <c r="I581" s="5">
        <f t="array" ref="I581">XLOOKUP(A581,protein_data!A:A,protein_data!B:B,"")</f>
        <v>197</v>
      </c>
      <c r="J581" s="5" t="str">
        <f t="shared" si="20"/>
        <v>Non-Responder</v>
      </c>
    </row>
    <row r="582" ht="22.5" customHeight="1">
      <c r="A582" s="3" t="s">
        <v>597</v>
      </c>
      <c r="B582" s="4">
        <v>68.0</v>
      </c>
      <c r="C582" s="3" t="s">
        <v>21</v>
      </c>
      <c r="D582" s="4">
        <v>126.49</v>
      </c>
      <c r="E582" s="4">
        <v>1.74</v>
      </c>
      <c r="F582" s="3" t="s">
        <v>12</v>
      </c>
      <c r="G582" s="3" t="s">
        <v>13</v>
      </c>
      <c r="H582" s="5">
        <f t="shared" si="19"/>
        <v>41.77896684</v>
      </c>
      <c r="I582" s="5">
        <f t="array" ref="I582">XLOOKUP(A582,protein_data!A:A,protein_data!B:B,"")</f>
        <v>151</v>
      </c>
      <c r="J582" s="5" t="str">
        <f t="shared" si="20"/>
        <v>Non-Responder</v>
      </c>
    </row>
    <row r="583" ht="22.5" customHeight="1">
      <c r="A583" s="3" t="s">
        <v>598</v>
      </c>
      <c r="B583" s="4">
        <v>66.0</v>
      </c>
      <c r="C583" s="3" t="s">
        <v>11</v>
      </c>
      <c r="D583" s="4">
        <v>62.4</v>
      </c>
      <c r="E583" s="4">
        <v>1.58</v>
      </c>
      <c r="F583" s="3" t="s">
        <v>12</v>
      </c>
      <c r="G583" s="3" t="s">
        <v>13</v>
      </c>
      <c r="H583" s="5">
        <f t="shared" si="19"/>
        <v>24.99599423</v>
      </c>
      <c r="I583" s="5">
        <f t="array" ref="I583">XLOOKUP(A583,protein_data!A:A,protein_data!B:B,"")</f>
        <v>109</v>
      </c>
      <c r="J583" s="5" t="str">
        <f t="shared" si="20"/>
        <v>Non-Responder</v>
      </c>
    </row>
    <row r="584" ht="22.5" customHeight="1">
      <c r="A584" s="3" t="s">
        <v>599</v>
      </c>
      <c r="B584" s="4">
        <v>68.0</v>
      </c>
      <c r="C584" s="3" t="s">
        <v>21</v>
      </c>
      <c r="D584" s="4">
        <v>83.02</v>
      </c>
      <c r="E584" s="4">
        <v>1.78</v>
      </c>
      <c r="F584" s="3" t="s">
        <v>17</v>
      </c>
      <c r="G584" s="3" t="s">
        <v>13</v>
      </c>
      <c r="H584" s="5">
        <f t="shared" si="19"/>
        <v>26.20249968</v>
      </c>
      <c r="I584" s="5">
        <f t="array" ref="I584">XLOOKUP(A584,protein_data!A:A,protein_data!B:B,"")</f>
        <v>121</v>
      </c>
      <c r="J584" s="5" t="str">
        <f t="shared" si="20"/>
        <v>Non-Responder</v>
      </c>
    </row>
    <row r="585" ht="22.5" customHeight="1">
      <c r="A585" s="3" t="s">
        <v>600</v>
      </c>
      <c r="B585" s="4">
        <v>49.0</v>
      </c>
      <c r="C585" s="3" t="s">
        <v>21</v>
      </c>
      <c r="D585" s="4">
        <v>114.11</v>
      </c>
      <c r="E585" s="4">
        <v>1.72</v>
      </c>
      <c r="F585" s="3" t="s">
        <v>12</v>
      </c>
      <c r="G585" s="3" t="s">
        <v>15</v>
      </c>
      <c r="H585" s="5">
        <f t="shared" si="19"/>
        <v>38.57152515</v>
      </c>
      <c r="I585" s="5">
        <f t="array" ref="I585">XLOOKUP(A585,protein_data!A:A,protein_data!B:B,"")</f>
        <v>100</v>
      </c>
      <c r="J585" s="5" t="str">
        <f t="shared" si="20"/>
        <v>Responder</v>
      </c>
    </row>
    <row r="586" ht="22.5" customHeight="1">
      <c r="A586" s="3" t="s">
        <v>601</v>
      </c>
      <c r="B586" s="4">
        <v>58.0</v>
      </c>
      <c r="C586" s="3" t="s">
        <v>21</v>
      </c>
      <c r="D586" s="4">
        <v>99.73</v>
      </c>
      <c r="E586" s="4">
        <v>1.87</v>
      </c>
      <c r="F586" s="3" t="s">
        <v>17</v>
      </c>
      <c r="G586" s="3" t="s">
        <v>13</v>
      </c>
      <c r="H586" s="5">
        <f t="shared" si="19"/>
        <v>28.51954588</v>
      </c>
      <c r="I586" s="5">
        <f t="array" ref="I586">XLOOKUP(A586,protein_data!A:A,protein_data!B:B,"")</f>
        <v>124</v>
      </c>
      <c r="J586" s="5" t="str">
        <f t="shared" si="20"/>
        <v>Non-Responder</v>
      </c>
    </row>
    <row r="587" ht="22.5" customHeight="1">
      <c r="A587" s="3" t="s">
        <v>602</v>
      </c>
      <c r="B587" s="4">
        <v>51.0</v>
      </c>
      <c r="C587" s="3" t="s">
        <v>21</v>
      </c>
      <c r="D587" s="4">
        <v>65.39</v>
      </c>
      <c r="E587" s="4">
        <v>1.71</v>
      </c>
      <c r="F587" s="3" t="s">
        <v>12</v>
      </c>
      <c r="G587" s="3" t="s">
        <v>15</v>
      </c>
      <c r="H587" s="5">
        <f t="shared" si="19"/>
        <v>22.36243631</v>
      </c>
      <c r="I587" s="5">
        <f t="array" ref="I587">XLOOKUP(A587,protein_data!A:A,protein_data!B:B,"")</f>
        <v>93</v>
      </c>
      <c r="J587" s="5" t="str">
        <f t="shared" si="20"/>
        <v>Responder</v>
      </c>
    </row>
    <row r="588" ht="22.5" customHeight="1">
      <c r="A588" s="3" t="s">
        <v>603</v>
      </c>
      <c r="B588" s="4">
        <v>60.0</v>
      </c>
      <c r="C588" s="3" t="s">
        <v>21</v>
      </c>
      <c r="D588" s="4">
        <v>110.26</v>
      </c>
      <c r="E588" s="4">
        <v>1.78</v>
      </c>
      <c r="F588" s="3" t="s">
        <v>12</v>
      </c>
      <c r="G588" s="3" t="s">
        <v>13</v>
      </c>
      <c r="H588" s="5">
        <f t="shared" si="19"/>
        <v>34.799899</v>
      </c>
      <c r="I588" s="5">
        <f t="array" ref="I588">XLOOKUP(A588,protein_data!A:A,protein_data!B:B,"")</f>
        <v>143</v>
      </c>
      <c r="J588" s="5" t="str">
        <f t="shared" si="20"/>
        <v>Non-Responder</v>
      </c>
    </row>
    <row r="589" ht="22.5" customHeight="1">
      <c r="A589" s="3" t="s">
        <v>604</v>
      </c>
      <c r="B589" s="4">
        <v>59.0</v>
      </c>
      <c r="C589" s="3" t="s">
        <v>11</v>
      </c>
      <c r="D589" s="4">
        <v>59.92</v>
      </c>
      <c r="E589" s="4">
        <v>1.57</v>
      </c>
      <c r="F589" s="3" t="s">
        <v>17</v>
      </c>
      <c r="G589" s="3" t="s">
        <v>15</v>
      </c>
      <c r="H589" s="5">
        <f t="shared" si="19"/>
        <v>24.30930261</v>
      </c>
      <c r="I589" s="5">
        <f t="array" ref="I589">XLOOKUP(A589,protein_data!A:A,protein_data!B:B,"")</f>
        <v>103</v>
      </c>
      <c r="J589" s="5" t="str">
        <f t="shared" si="20"/>
        <v>Responder</v>
      </c>
    </row>
    <row r="590" ht="22.5" customHeight="1">
      <c r="A590" s="3" t="s">
        <v>605</v>
      </c>
      <c r="B590" s="4">
        <v>71.0</v>
      </c>
      <c r="C590" s="3" t="s">
        <v>21</v>
      </c>
      <c r="D590" s="4">
        <v>104.14</v>
      </c>
      <c r="E590" s="4">
        <v>1.78</v>
      </c>
      <c r="F590" s="3" t="s">
        <v>12</v>
      </c>
      <c r="G590" s="3" t="s">
        <v>13</v>
      </c>
      <c r="H590" s="5">
        <f t="shared" si="19"/>
        <v>32.86832471</v>
      </c>
      <c r="I590" s="5">
        <f t="array" ref="I590">XLOOKUP(A590,protein_data!A:A,protein_data!B:B,"")</f>
        <v>176</v>
      </c>
      <c r="J590" s="5" t="str">
        <f t="shared" si="20"/>
        <v>Non-Responder</v>
      </c>
    </row>
    <row r="591" ht="22.5" customHeight="1">
      <c r="A591" s="3" t="s">
        <v>606</v>
      </c>
      <c r="B591" s="4">
        <v>76.0</v>
      </c>
      <c r="C591" s="3" t="s">
        <v>21</v>
      </c>
      <c r="D591" s="4">
        <v>67.27</v>
      </c>
      <c r="E591" s="4">
        <v>1.79</v>
      </c>
      <c r="F591" s="3" t="s">
        <v>12</v>
      </c>
      <c r="G591" s="3" t="s">
        <v>15</v>
      </c>
      <c r="H591" s="5">
        <f t="shared" si="19"/>
        <v>20.99497519</v>
      </c>
      <c r="I591" s="5">
        <f t="array" ref="I591">XLOOKUP(A591,protein_data!A:A,protein_data!B:B,"")</f>
        <v>73</v>
      </c>
      <c r="J591" s="5" t="str">
        <f t="shared" si="20"/>
        <v>Responder</v>
      </c>
    </row>
    <row r="592" ht="22.5" customHeight="1">
      <c r="A592" s="3" t="s">
        <v>607</v>
      </c>
      <c r="B592" s="4">
        <v>60.0</v>
      </c>
      <c r="C592" s="3" t="s">
        <v>11</v>
      </c>
      <c r="D592" s="4">
        <v>130.51</v>
      </c>
      <c r="E592" s="4">
        <v>1.67</v>
      </c>
      <c r="F592" s="3" t="s">
        <v>17</v>
      </c>
      <c r="G592" s="3" t="s">
        <v>15</v>
      </c>
      <c r="H592" s="5">
        <f t="shared" si="19"/>
        <v>46.7962279</v>
      </c>
      <c r="I592" s="5">
        <f t="array" ref="I592">XLOOKUP(A592,protein_data!A:A,protein_data!B:B,"")</f>
        <v>111</v>
      </c>
      <c r="J592" s="5" t="str">
        <f t="shared" si="20"/>
        <v>Responder</v>
      </c>
    </row>
    <row r="593" ht="22.5" customHeight="1">
      <c r="A593" s="3" t="s">
        <v>608</v>
      </c>
      <c r="B593" s="4">
        <v>55.0</v>
      </c>
      <c r="C593" s="3" t="s">
        <v>21</v>
      </c>
      <c r="D593" s="4">
        <v>116.27</v>
      </c>
      <c r="E593" s="4">
        <v>1.73</v>
      </c>
      <c r="F593" s="3" t="s">
        <v>17</v>
      </c>
      <c r="G593" s="3" t="s">
        <v>15</v>
      </c>
      <c r="H593" s="5">
        <f t="shared" si="19"/>
        <v>38.84860837</v>
      </c>
      <c r="I593" s="5">
        <f t="array" ref="I593">XLOOKUP(A593,protein_data!A:A,protein_data!B:B,"")</f>
        <v>112</v>
      </c>
      <c r="J593" s="5" t="str">
        <f t="shared" si="20"/>
        <v>Responder</v>
      </c>
    </row>
    <row r="594" ht="22.5" customHeight="1">
      <c r="A594" s="3" t="s">
        <v>609</v>
      </c>
      <c r="B594" s="4">
        <v>48.0</v>
      </c>
      <c r="C594" s="3" t="s">
        <v>11</v>
      </c>
      <c r="D594" s="4">
        <v>79.19</v>
      </c>
      <c r="E594" s="4">
        <v>1.52</v>
      </c>
      <c r="F594" s="3" t="s">
        <v>17</v>
      </c>
      <c r="G594" s="3" t="s">
        <v>13</v>
      </c>
      <c r="H594" s="5">
        <f t="shared" si="19"/>
        <v>34.27545014</v>
      </c>
      <c r="I594" s="5">
        <f t="array" ref="I594">XLOOKUP(A594,protein_data!A:A,protein_data!B:B,"")</f>
        <v>132</v>
      </c>
      <c r="J594" s="5" t="str">
        <f t="shared" si="20"/>
        <v>Non-Responder</v>
      </c>
    </row>
    <row r="595" ht="22.5" customHeight="1">
      <c r="A595" s="3" t="s">
        <v>610</v>
      </c>
      <c r="B595" s="4">
        <v>59.0</v>
      </c>
      <c r="C595" s="3" t="s">
        <v>11</v>
      </c>
      <c r="D595" s="4">
        <v>74.78</v>
      </c>
      <c r="E595" s="4">
        <v>1.62</v>
      </c>
      <c r="F595" s="3" t="s">
        <v>12</v>
      </c>
      <c r="G595" s="3" t="s">
        <v>15</v>
      </c>
      <c r="H595" s="5">
        <f t="shared" si="19"/>
        <v>28.49413199</v>
      </c>
      <c r="I595" s="5">
        <f t="array" ref="I595">XLOOKUP(A595,protein_data!A:A,protein_data!B:B,"")</f>
        <v>82</v>
      </c>
      <c r="J595" s="5" t="str">
        <f t="shared" si="20"/>
        <v>Responder</v>
      </c>
    </row>
    <row r="596" ht="22.5" customHeight="1">
      <c r="A596" s="3" t="s">
        <v>611</v>
      </c>
      <c r="B596" s="4">
        <v>75.0</v>
      </c>
      <c r="C596" s="3" t="s">
        <v>21</v>
      </c>
      <c r="D596" s="4">
        <v>106.48</v>
      </c>
      <c r="E596" s="4">
        <v>1.79</v>
      </c>
      <c r="F596" s="3" t="s">
        <v>17</v>
      </c>
      <c r="G596" s="3" t="s">
        <v>15</v>
      </c>
      <c r="H596" s="5">
        <f t="shared" si="19"/>
        <v>33.23242096</v>
      </c>
      <c r="I596" s="5">
        <f t="array" ref="I596">XLOOKUP(A596,protein_data!A:A,protein_data!B:B,"")</f>
        <v>123</v>
      </c>
      <c r="J596" s="5" t="str">
        <f t="shared" si="20"/>
        <v>Responder</v>
      </c>
    </row>
    <row r="597" ht="22.5" customHeight="1">
      <c r="A597" s="3" t="s">
        <v>612</v>
      </c>
      <c r="B597" s="4">
        <v>58.0</v>
      </c>
      <c r="C597" s="3" t="s">
        <v>21</v>
      </c>
      <c r="D597" s="4">
        <v>95.8</v>
      </c>
      <c r="E597" s="4">
        <v>1.74</v>
      </c>
      <c r="F597" s="3" t="s">
        <v>12</v>
      </c>
      <c r="G597" s="3" t="s">
        <v>13</v>
      </c>
      <c r="H597" s="5">
        <f t="shared" si="19"/>
        <v>31.64222486</v>
      </c>
      <c r="I597" s="5">
        <f t="array" ref="I597">XLOOKUP(A597,protein_data!A:A,protein_data!B:B,"")</f>
        <v>188</v>
      </c>
      <c r="J597" s="5" t="str">
        <f t="shared" si="20"/>
        <v>Non-Responder</v>
      </c>
    </row>
    <row r="598" ht="22.5" customHeight="1">
      <c r="A598" s="3" t="s">
        <v>613</v>
      </c>
      <c r="B598" s="4">
        <v>62.0</v>
      </c>
      <c r="C598" s="3" t="s">
        <v>21</v>
      </c>
      <c r="D598" s="4">
        <v>143.06</v>
      </c>
      <c r="E598" s="4">
        <v>1.78</v>
      </c>
      <c r="F598" s="3" t="s">
        <v>17</v>
      </c>
      <c r="G598" s="3" t="s">
        <v>15</v>
      </c>
      <c r="H598" s="5">
        <f t="shared" si="19"/>
        <v>45.15212726</v>
      </c>
      <c r="I598" s="5">
        <f t="array" ref="I598">XLOOKUP(A598,protein_data!A:A,protein_data!B:B,"")</f>
        <v>67</v>
      </c>
      <c r="J598" s="5" t="str">
        <f t="shared" si="20"/>
        <v>Responder</v>
      </c>
    </row>
    <row r="599" ht="22.5" customHeight="1">
      <c r="A599" s="3" t="s">
        <v>614</v>
      </c>
      <c r="B599" s="4">
        <v>60.0</v>
      </c>
      <c r="C599" s="3" t="s">
        <v>11</v>
      </c>
      <c r="D599" s="4">
        <v>63.19</v>
      </c>
      <c r="E599" s="4">
        <v>1.51</v>
      </c>
      <c r="F599" s="3" t="s">
        <v>17</v>
      </c>
      <c r="G599" s="3" t="s">
        <v>13</v>
      </c>
      <c r="H599" s="5">
        <f t="shared" si="19"/>
        <v>27.71369677</v>
      </c>
      <c r="I599" s="5">
        <f t="array" ref="I599">XLOOKUP(A599,protein_data!A:A,protein_data!B:B,"")</f>
        <v>89</v>
      </c>
      <c r="J599" s="5" t="str">
        <f t="shared" si="20"/>
        <v>Non-Responder</v>
      </c>
    </row>
    <row r="600" ht="22.5" customHeight="1">
      <c r="A600" s="3" t="s">
        <v>615</v>
      </c>
      <c r="B600" s="4">
        <v>58.0</v>
      </c>
      <c r="C600" s="3" t="s">
        <v>11</v>
      </c>
      <c r="D600" s="4">
        <v>83.99</v>
      </c>
      <c r="E600" s="4">
        <v>1.51</v>
      </c>
      <c r="F600" s="3" t="s">
        <v>17</v>
      </c>
      <c r="G600" s="3" t="s">
        <v>13</v>
      </c>
      <c r="H600" s="5">
        <f t="shared" si="19"/>
        <v>36.83610368</v>
      </c>
      <c r="I600" s="5">
        <f t="array" ref="I600">XLOOKUP(A600,protein_data!A:A,protein_data!B:B,"")</f>
        <v>173</v>
      </c>
      <c r="J600" s="5" t="str">
        <f t="shared" si="20"/>
        <v>Non-Responder</v>
      </c>
    </row>
    <row r="601" ht="22.5" customHeight="1">
      <c r="A601" s="3" t="s">
        <v>616</v>
      </c>
      <c r="B601" s="4">
        <v>57.0</v>
      </c>
      <c r="C601" s="3" t="s">
        <v>11</v>
      </c>
      <c r="D601" s="4">
        <v>47.31</v>
      </c>
      <c r="E601" s="4">
        <v>1.43</v>
      </c>
      <c r="F601" s="3" t="s">
        <v>12</v>
      </c>
      <c r="G601" s="3" t="s">
        <v>13</v>
      </c>
      <c r="H601" s="5">
        <f t="shared" si="19"/>
        <v>23.13560565</v>
      </c>
      <c r="I601" s="5">
        <f t="array" ref="I601">XLOOKUP(A601,protein_data!A:A,protein_data!B:B,"")</f>
        <v>109</v>
      </c>
      <c r="J601" s="5" t="str">
        <f t="shared" si="20"/>
        <v>Non-Responder</v>
      </c>
    </row>
    <row r="602" ht="22.5" customHeight="1">
      <c r="A602" s="3" t="s">
        <v>617</v>
      </c>
      <c r="B602" s="4">
        <v>55.0</v>
      </c>
      <c r="C602" s="3" t="s">
        <v>11</v>
      </c>
      <c r="D602" s="4">
        <v>64.52</v>
      </c>
      <c r="E602" s="4">
        <v>1.54</v>
      </c>
      <c r="F602" s="3" t="s">
        <v>17</v>
      </c>
      <c r="G602" s="3" t="s">
        <v>15</v>
      </c>
      <c r="H602" s="5">
        <f t="shared" si="19"/>
        <v>27.20526227</v>
      </c>
      <c r="I602" s="5">
        <f t="array" ref="I602">XLOOKUP(A602,protein_data!A:A,protein_data!B:B,"")</f>
        <v>108</v>
      </c>
      <c r="J602" s="5" t="str">
        <f t="shared" si="20"/>
        <v>Responder</v>
      </c>
    </row>
    <row r="603" ht="22.5" customHeight="1">
      <c r="A603" s="3" t="s">
        <v>618</v>
      </c>
      <c r="B603" s="4">
        <v>50.0</v>
      </c>
      <c r="C603" s="3" t="s">
        <v>21</v>
      </c>
      <c r="D603" s="4">
        <v>69.4</v>
      </c>
      <c r="E603" s="4">
        <v>1.72</v>
      </c>
      <c r="F603" s="3" t="s">
        <v>12</v>
      </c>
      <c r="G603" s="3" t="s">
        <v>15</v>
      </c>
      <c r="H603" s="5">
        <f t="shared" si="19"/>
        <v>23.45862628</v>
      </c>
      <c r="I603" s="5">
        <f t="array" ref="I603">XLOOKUP(A603,protein_data!A:A,protein_data!B:B,"")</f>
        <v>96</v>
      </c>
      <c r="J603" s="5" t="str">
        <f t="shared" si="20"/>
        <v>Responder</v>
      </c>
    </row>
    <row r="604" ht="22.5" customHeight="1">
      <c r="A604" s="3" t="s">
        <v>619</v>
      </c>
      <c r="B604" s="4">
        <v>66.0</v>
      </c>
      <c r="C604" s="3" t="s">
        <v>21</v>
      </c>
      <c r="D604" s="4">
        <v>88.2</v>
      </c>
      <c r="E604" s="4">
        <v>1.79</v>
      </c>
      <c r="F604" s="3" t="s">
        <v>17</v>
      </c>
      <c r="G604" s="3" t="s">
        <v>13</v>
      </c>
      <c r="H604" s="5">
        <f t="shared" si="19"/>
        <v>27.52723074</v>
      </c>
      <c r="I604" s="5">
        <f t="array" ref="I604">XLOOKUP(A604,protein_data!A:A,protein_data!B:B,"")</f>
        <v>124</v>
      </c>
      <c r="J604" s="5" t="str">
        <f t="shared" si="20"/>
        <v>Non-Responder</v>
      </c>
    </row>
    <row r="605" ht="22.5" customHeight="1">
      <c r="A605" s="3" t="s">
        <v>620</v>
      </c>
      <c r="B605" s="4">
        <v>65.0</v>
      </c>
      <c r="C605" s="3" t="s">
        <v>21</v>
      </c>
      <c r="D605" s="4">
        <v>109.35</v>
      </c>
      <c r="E605" s="4">
        <v>1.77</v>
      </c>
      <c r="F605" s="3" t="s">
        <v>12</v>
      </c>
      <c r="G605" s="3" t="s">
        <v>13</v>
      </c>
      <c r="H605" s="5">
        <f t="shared" si="19"/>
        <v>34.90376329</v>
      </c>
      <c r="I605" s="5">
        <f t="array" ref="I605">XLOOKUP(A605,protein_data!A:A,protein_data!B:B,"")</f>
        <v>150</v>
      </c>
      <c r="J605" s="5" t="str">
        <f t="shared" si="20"/>
        <v>Non-Responder</v>
      </c>
    </row>
    <row r="606" ht="22.5" customHeight="1">
      <c r="A606" s="3" t="s">
        <v>621</v>
      </c>
      <c r="B606" s="4">
        <v>58.0</v>
      </c>
      <c r="C606" s="3" t="s">
        <v>21</v>
      </c>
      <c r="D606" s="4">
        <v>89.84</v>
      </c>
      <c r="E606" s="4">
        <v>1.79</v>
      </c>
      <c r="F606" s="3" t="s">
        <v>17</v>
      </c>
      <c r="G606" s="3" t="s">
        <v>13</v>
      </c>
      <c r="H606" s="5">
        <f t="shared" si="19"/>
        <v>28.03907494</v>
      </c>
      <c r="I606" s="5">
        <f t="array" ref="I606">XLOOKUP(A606,protein_data!A:A,protein_data!B:B,"")</f>
        <v>183</v>
      </c>
      <c r="J606" s="5" t="str">
        <f t="shared" si="20"/>
        <v>Non-Responder</v>
      </c>
    </row>
    <row r="607" ht="22.5" customHeight="1">
      <c r="A607" s="3" t="s">
        <v>622</v>
      </c>
      <c r="B607" s="4">
        <v>61.0</v>
      </c>
      <c r="C607" s="3" t="s">
        <v>21</v>
      </c>
      <c r="D607" s="4">
        <v>108.3</v>
      </c>
      <c r="E607" s="4">
        <v>1.75</v>
      </c>
      <c r="F607" s="3" t="s">
        <v>17</v>
      </c>
      <c r="G607" s="3" t="s">
        <v>15</v>
      </c>
      <c r="H607" s="5">
        <f t="shared" si="19"/>
        <v>35.36326531</v>
      </c>
      <c r="I607" s="5">
        <f t="array" ref="I607">XLOOKUP(A607,protein_data!A:A,protein_data!B:B,"")</f>
        <v>124</v>
      </c>
      <c r="J607" s="5" t="str">
        <f t="shared" si="20"/>
        <v>Responder</v>
      </c>
    </row>
    <row r="608" ht="22.5" customHeight="1">
      <c r="A608" s="3" t="s">
        <v>623</v>
      </c>
      <c r="B608" s="4">
        <v>53.0</v>
      </c>
      <c r="C608" s="3" t="s">
        <v>21</v>
      </c>
      <c r="D608" s="4">
        <v>130.97</v>
      </c>
      <c r="E608" s="4">
        <v>1.82</v>
      </c>
      <c r="F608" s="3" t="s">
        <v>12</v>
      </c>
      <c r="G608" s="3" t="s">
        <v>13</v>
      </c>
      <c r="H608" s="5">
        <f t="shared" si="19"/>
        <v>39.53930685</v>
      </c>
      <c r="I608" s="5">
        <f t="array" ref="I608">XLOOKUP(A608,protein_data!A:A,protein_data!B:B,"")</f>
        <v>181</v>
      </c>
      <c r="J608" s="5" t="str">
        <f t="shared" si="20"/>
        <v>Non-Responder</v>
      </c>
    </row>
    <row r="609" ht="22.5" customHeight="1">
      <c r="A609" s="3" t="s">
        <v>624</v>
      </c>
      <c r="B609" s="4">
        <v>63.0</v>
      </c>
      <c r="C609" s="3" t="s">
        <v>21</v>
      </c>
      <c r="D609" s="4">
        <v>63.53</v>
      </c>
      <c r="E609" s="4">
        <v>1.81</v>
      </c>
      <c r="F609" s="3" t="s">
        <v>12</v>
      </c>
      <c r="G609" s="3" t="s">
        <v>15</v>
      </c>
      <c r="H609" s="5">
        <f t="shared" si="19"/>
        <v>19.39195995</v>
      </c>
      <c r="I609" s="5">
        <f t="array" ref="I609">XLOOKUP(A609,protein_data!A:A,protein_data!B:B,"")</f>
        <v>92</v>
      </c>
      <c r="J609" s="5" t="str">
        <f t="shared" si="20"/>
        <v>Responder</v>
      </c>
    </row>
    <row r="610" ht="22.5" customHeight="1">
      <c r="A610" s="3" t="s">
        <v>625</v>
      </c>
      <c r="B610" s="4">
        <v>61.0</v>
      </c>
      <c r="C610" s="3" t="s">
        <v>11</v>
      </c>
      <c r="D610" s="4">
        <v>90.95</v>
      </c>
      <c r="E610" s="4">
        <v>1.48</v>
      </c>
      <c r="F610" s="3" t="s">
        <v>17</v>
      </c>
      <c r="G610" s="3" t="s">
        <v>15</v>
      </c>
      <c r="H610" s="5">
        <f t="shared" si="19"/>
        <v>41.52209642</v>
      </c>
      <c r="I610" s="5">
        <f t="array" ref="I610">XLOOKUP(A610,protein_data!A:A,protein_data!B:B,"")</f>
        <v>152</v>
      </c>
      <c r="J610" s="5" t="str">
        <f t="shared" si="20"/>
        <v>Responder</v>
      </c>
    </row>
    <row r="611" ht="22.5" customHeight="1">
      <c r="A611" s="3" t="s">
        <v>626</v>
      </c>
      <c r="B611" s="4">
        <v>64.0</v>
      </c>
      <c r="C611" s="3" t="s">
        <v>21</v>
      </c>
      <c r="D611" s="4">
        <v>72.01</v>
      </c>
      <c r="E611" s="4">
        <v>1.74</v>
      </c>
      <c r="F611" s="3" t="s">
        <v>12</v>
      </c>
      <c r="G611" s="3" t="s">
        <v>13</v>
      </c>
      <c r="H611" s="5">
        <f t="shared" si="19"/>
        <v>23.78451579</v>
      </c>
      <c r="I611" s="5">
        <f t="array" ref="I611">XLOOKUP(A611,protein_data!A:A,protein_data!B:B,"")</f>
        <v>111</v>
      </c>
      <c r="J611" s="5" t="str">
        <f t="shared" si="20"/>
        <v>Non-Responder</v>
      </c>
    </row>
    <row r="612" ht="22.5" customHeight="1">
      <c r="A612" s="3" t="s">
        <v>627</v>
      </c>
      <c r="B612" s="4">
        <v>62.0</v>
      </c>
      <c r="C612" s="3" t="s">
        <v>21</v>
      </c>
      <c r="D612" s="4">
        <v>91.06</v>
      </c>
      <c r="E612" s="4">
        <v>1.72</v>
      </c>
      <c r="F612" s="3" t="s">
        <v>12</v>
      </c>
      <c r="G612" s="3" t="s">
        <v>15</v>
      </c>
      <c r="H612" s="5">
        <f t="shared" si="19"/>
        <v>30.78015143</v>
      </c>
      <c r="I612" s="5">
        <f t="array" ref="I612">XLOOKUP(A612,protein_data!A:A,protein_data!B:B,"")</f>
        <v>106</v>
      </c>
      <c r="J612" s="5" t="str">
        <f t="shared" si="20"/>
        <v>Responder</v>
      </c>
    </row>
    <row r="613" ht="22.5" customHeight="1">
      <c r="A613" s="3" t="s">
        <v>628</v>
      </c>
      <c r="B613" s="4">
        <v>63.0</v>
      </c>
      <c r="C613" s="3" t="s">
        <v>11</v>
      </c>
      <c r="D613" s="4">
        <v>82.85</v>
      </c>
      <c r="E613" s="4">
        <v>1.59</v>
      </c>
      <c r="F613" s="3" t="s">
        <v>12</v>
      </c>
      <c r="G613" s="3" t="s">
        <v>13</v>
      </c>
      <c r="H613" s="5">
        <f t="shared" si="19"/>
        <v>32.77164669</v>
      </c>
      <c r="I613" s="5">
        <f t="array" ref="I613">XLOOKUP(A613,protein_data!A:A,protein_data!B:B,"")</f>
        <v>174</v>
      </c>
      <c r="J613" s="5" t="str">
        <f t="shared" si="20"/>
        <v>Non-Responder</v>
      </c>
    </row>
    <row r="614" ht="22.5" customHeight="1">
      <c r="A614" s="3" t="s">
        <v>629</v>
      </c>
      <c r="B614" s="4">
        <v>64.0</v>
      </c>
      <c r="C614" s="3" t="s">
        <v>21</v>
      </c>
      <c r="D614" s="4">
        <v>114.74</v>
      </c>
      <c r="E614" s="4">
        <v>1.74</v>
      </c>
      <c r="F614" s="3" t="s">
        <v>17</v>
      </c>
      <c r="G614" s="3" t="s">
        <v>13</v>
      </c>
      <c r="H614" s="5">
        <f t="shared" si="19"/>
        <v>37.89800502</v>
      </c>
      <c r="I614" s="5">
        <f t="array" ref="I614">XLOOKUP(A614,protein_data!A:A,protein_data!B:B,"")</f>
        <v>168</v>
      </c>
      <c r="J614" s="5" t="str">
        <f t="shared" si="20"/>
        <v>Non-Responder</v>
      </c>
    </row>
    <row r="615" ht="22.5" customHeight="1">
      <c r="A615" s="3" t="s">
        <v>630</v>
      </c>
      <c r="B615" s="4">
        <v>65.0</v>
      </c>
      <c r="C615" s="3" t="s">
        <v>11</v>
      </c>
      <c r="D615" s="4">
        <v>81.6</v>
      </c>
      <c r="E615" s="4">
        <v>1.58</v>
      </c>
      <c r="F615" s="3" t="s">
        <v>17</v>
      </c>
      <c r="G615" s="3" t="s">
        <v>15</v>
      </c>
      <c r="H615" s="5">
        <f t="shared" si="19"/>
        <v>32.68706938</v>
      </c>
      <c r="I615" s="5">
        <f t="array" ref="I615">XLOOKUP(A615,protein_data!A:A,protein_data!B:B,"")</f>
        <v>105</v>
      </c>
      <c r="J615" s="5" t="str">
        <f t="shared" si="20"/>
        <v>Responder</v>
      </c>
    </row>
    <row r="616" ht="22.5" customHeight="1">
      <c r="A616" s="3" t="s">
        <v>631</v>
      </c>
      <c r="B616" s="4">
        <v>57.0</v>
      </c>
      <c r="C616" s="3" t="s">
        <v>11</v>
      </c>
      <c r="D616" s="4">
        <v>97.38</v>
      </c>
      <c r="E616" s="4">
        <v>1.64</v>
      </c>
      <c r="F616" s="3" t="s">
        <v>12</v>
      </c>
      <c r="G616" s="3" t="s">
        <v>15</v>
      </c>
      <c r="H616" s="5">
        <f t="shared" si="19"/>
        <v>36.20612731</v>
      </c>
      <c r="I616" s="5">
        <f t="array" ref="I616">XLOOKUP(A616,protein_data!A:A,protein_data!B:B,"")</f>
        <v>138</v>
      </c>
      <c r="J616" s="5" t="str">
        <f t="shared" si="20"/>
        <v>Responder</v>
      </c>
    </row>
    <row r="617" ht="22.5" customHeight="1">
      <c r="A617" s="3" t="s">
        <v>632</v>
      </c>
      <c r="B617" s="4">
        <v>65.0</v>
      </c>
      <c r="C617" s="3" t="s">
        <v>11</v>
      </c>
      <c r="D617" s="4">
        <v>68.51</v>
      </c>
      <c r="E617" s="4">
        <v>1.63</v>
      </c>
      <c r="F617" s="3" t="s">
        <v>12</v>
      </c>
      <c r="G617" s="3" t="s">
        <v>15</v>
      </c>
      <c r="H617" s="5">
        <f t="shared" si="19"/>
        <v>25.78569009</v>
      </c>
      <c r="I617" s="5">
        <f t="array" ref="I617">XLOOKUP(A617,protein_data!A:A,protein_data!B:B,"")</f>
        <v>106</v>
      </c>
      <c r="J617" s="5" t="str">
        <f t="shared" si="20"/>
        <v>Responder</v>
      </c>
    </row>
    <row r="618" ht="22.5" customHeight="1">
      <c r="A618" s="3" t="s">
        <v>633</v>
      </c>
      <c r="B618" s="4">
        <v>68.0</v>
      </c>
      <c r="C618" s="3" t="s">
        <v>11</v>
      </c>
      <c r="D618" s="4">
        <v>90.17</v>
      </c>
      <c r="E618" s="4">
        <v>1.77</v>
      </c>
      <c r="F618" s="3" t="s">
        <v>17</v>
      </c>
      <c r="G618" s="3" t="s">
        <v>13</v>
      </c>
      <c r="H618" s="5">
        <f t="shared" si="19"/>
        <v>28.78164001</v>
      </c>
      <c r="I618" s="5">
        <f t="array" ref="I618">XLOOKUP(A618,protein_data!A:A,protein_data!B:B,"")</f>
        <v>117</v>
      </c>
      <c r="J618" s="5" t="str">
        <f t="shared" si="20"/>
        <v>Non-Responder</v>
      </c>
    </row>
    <row r="619" ht="22.5" customHeight="1">
      <c r="A619" s="3" t="s">
        <v>634</v>
      </c>
      <c r="B619" s="4">
        <v>49.0</v>
      </c>
      <c r="C619" s="3" t="s">
        <v>21</v>
      </c>
      <c r="D619" s="4">
        <v>59.54</v>
      </c>
      <c r="E619" s="4">
        <v>1.73</v>
      </c>
      <c r="F619" s="3" t="s">
        <v>12</v>
      </c>
      <c r="G619" s="3" t="s">
        <v>15</v>
      </c>
      <c r="H619" s="5">
        <f t="shared" si="19"/>
        <v>19.89374854</v>
      </c>
      <c r="I619" s="5">
        <f t="array" ref="I619">XLOOKUP(A619,protein_data!A:A,protein_data!B:B,"")</f>
        <v>68</v>
      </c>
      <c r="J619" s="5" t="str">
        <f t="shared" si="20"/>
        <v>Responder</v>
      </c>
    </row>
    <row r="620" ht="22.5" customHeight="1">
      <c r="A620" s="3" t="s">
        <v>635</v>
      </c>
      <c r="B620" s="4">
        <v>50.0</v>
      </c>
      <c r="C620" s="3" t="s">
        <v>11</v>
      </c>
      <c r="D620" s="4">
        <v>75.91</v>
      </c>
      <c r="E620" s="4">
        <v>1.64</v>
      </c>
      <c r="F620" s="3" t="s">
        <v>12</v>
      </c>
      <c r="G620" s="3" t="s">
        <v>15</v>
      </c>
      <c r="H620" s="5">
        <f t="shared" si="19"/>
        <v>28.22352766</v>
      </c>
      <c r="I620" s="5">
        <f t="array" ref="I620">XLOOKUP(A620,protein_data!A:A,protein_data!B:B,"")</f>
        <v>112</v>
      </c>
      <c r="J620" s="5" t="str">
        <f t="shared" si="20"/>
        <v>Responder</v>
      </c>
    </row>
    <row r="621" ht="22.5" customHeight="1">
      <c r="A621" s="3" t="s">
        <v>636</v>
      </c>
      <c r="B621" s="4">
        <v>51.0</v>
      </c>
      <c r="C621" s="3" t="s">
        <v>21</v>
      </c>
      <c r="D621" s="4">
        <v>85.39</v>
      </c>
      <c r="E621" s="4">
        <v>1.63</v>
      </c>
      <c r="F621" s="3" t="s">
        <v>12</v>
      </c>
      <c r="G621" s="3" t="s">
        <v>15</v>
      </c>
      <c r="H621" s="5">
        <f t="shared" si="19"/>
        <v>32.13895894</v>
      </c>
      <c r="I621" s="5">
        <f t="array" ref="I621">XLOOKUP(A621,protein_data!A:A,protein_data!B:B,"")</f>
        <v>119</v>
      </c>
      <c r="J621" s="5" t="str">
        <f t="shared" si="20"/>
        <v>Responder</v>
      </c>
    </row>
    <row r="622" ht="22.5" customHeight="1">
      <c r="A622" s="3" t="s">
        <v>637</v>
      </c>
      <c r="B622" s="4">
        <v>59.0</v>
      </c>
      <c r="C622" s="3" t="s">
        <v>21</v>
      </c>
      <c r="D622" s="4">
        <v>138.41</v>
      </c>
      <c r="E622" s="4">
        <v>1.91</v>
      </c>
      <c r="F622" s="3" t="s">
        <v>17</v>
      </c>
      <c r="G622" s="3" t="s">
        <v>13</v>
      </c>
      <c r="H622" s="5">
        <f t="shared" si="19"/>
        <v>37.94029769</v>
      </c>
      <c r="I622" s="5">
        <f t="array" ref="I622">XLOOKUP(A622,protein_data!A:A,protein_data!B:B,"")</f>
        <v>112</v>
      </c>
      <c r="J622" s="5" t="str">
        <f t="shared" si="20"/>
        <v>Non-Responder</v>
      </c>
    </row>
    <row r="623" ht="22.5" customHeight="1">
      <c r="A623" s="3" t="s">
        <v>638</v>
      </c>
      <c r="B623" s="4">
        <v>66.0</v>
      </c>
      <c r="C623" s="3" t="s">
        <v>21</v>
      </c>
      <c r="D623" s="4">
        <v>81.77</v>
      </c>
      <c r="E623" s="4">
        <v>1.85</v>
      </c>
      <c r="F623" s="3" t="s">
        <v>12</v>
      </c>
      <c r="G623" s="3" t="s">
        <v>15</v>
      </c>
      <c r="H623" s="5">
        <f t="shared" si="19"/>
        <v>23.89189189</v>
      </c>
      <c r="I623" s="5">
        <f t="array" ref="I623">XLOOKUP(A623,protein_data!A:A,protein_data!B:B,"")</f>
        <v>92</v>
      </c>
      <c r="J623" s="5" t="str">
        <f t="shared" si="20"/>
        <v>Responder</v>
      </c>
    </row>
    <row r="624" ht="22.5" customHeight="1">
      <c r="A624" s="3" t="s">
        <v>639</v>
      </c>
      <c r="B624" s="4">
        <v>57.0</v>
      </c>
      <c r="C624" s="3" t="s">
        <v>11</v>
      </c>
      <c r="D624" s="4">
        <v>91.5</v>
      </c>
      <c r="E624" s="4">
        <v>1.5</v>
      </c>
      <c r="F624" s="3" t="s">
        <v>12</v>
      </c>
      <c r="G624" s="3" t="s">
        <v>13</v>
      </c>
      <c r="H624" s="5">
        <f t="shared" si="19"/>
        <v>40.66666667</v>
      </c>
      <c r="I624" s="5">
        <f t="array" ref="I624">XLOOKUP(A624,protein_data!A:A,protein_data!B:B,"")</f>
        <v>183</v>
      </c>
      <c r="J624" s="5" t="str">
        <f t="shared" si="20"/>
        <v>Non-Responder</v>
      </c>
    </row>
    <row r="625" ht="22.5" customHeight="1">
      <c r="A625" s="3" t="s">
        <v>640</v>
      </c>
      <c r="B625" s="4">
        <v>65.0</v>
      </c>
      <c r="C625" s="3" t="s">
        <v>11</v>
      </c>
      <c r="D625" s="4">
        <v>110.45</v>
      </c>
      <c r="E625" s="4">
        <v>1.59</v>
      </c>
      <c r="F625" s="3" t="s">
        <v>12</v>
      </c>
      <c r="G625" s="3" t="s">
        <v>15</v>
      </c>
      <c r="H625" s="5">
        <f t="shared" si="19"/>
        <v>43.68893636</v>
      </c>
      <c r="I625" s="5">
        <f t="array" ref="I625">XLOOKUP(A625,protein_data!A:A,protein_data!B:B,"")</f>
        <v>94</v>
      </c>
      <c r="J625" s="5" t="str">
        <f t="shared" si="20"/>
        <v>Responder</v>
      </c>
    </row>
    <row r="626" ht="22.5" customHeight="1">
      <c r="A626" s="3" t="s">
        <v>641</v>
      </c>
      <c r="B626" s="4">
        <v>62.0</v>
      </c>
      <c r="C626" s="3" t="s">
        <v>21</v>
      </c>
      <c r="D626" s="4">
        <v>98.4</v>
      </c>
      <c r="E626" s="4">
        <v>1.79</v>
      </c>
      <c r="F626" s="3" t="s">
        <v>17</v>
      </c>
      <c r="G626" s="3" t="s">
        <v>13</v>
      </c>
      <c r="H626" s="5">
        <f t="shared" si="19"/>
        <v>30.71065198</v>
      </c>
      <c r="I626" s="5">
        <f t="array" ref="I626">XLOOKUP(A626,protein_data!A:A,protein_data!B:B,"")</f>
        <v>108</v>
      </c>
      <c r="J626" s="5" t="str">
        <f t="shared" si="20"/>
        <v>Non-Responder</v>
      </c>
    </row>
    <row r="627" ht="22.5" customHeight="1">
      <c r="A627" s="3" t="s">
        <v>642</v>
      </c>
      <c r="B627" s="4">
        <v>61.0</v>
      </c>
      <c r="C627" s="3" t="s">
        <v>11</v>
      </c>
      <c r="D627" s="4">
        <v>91.28</v>
      </c>
      <c r="E627" s="4">
        <v>1.56</v>
      </c>
      <c r="F627" s="3" t="s">
        <v>17</v>
      </c>
      <c r="G627" s="3" t="s">
        <v>15</v>
      </c>
      <c r="H627" s="5">
        <f t="shared" si="19"/>
        <v>37.50821828</v>
      </c>
      <c r="I627" s="5">
        <f t="array" ref="I627">XLOOKUP(A627,protein_data!A:A,protein_data!B:B,"")</f>
        <v>90</v>
      </c>
      <c r="J627" s="5" t="str">
        <f t="shared" si="20"/>
        <v>Responder</v>
      </c>
    </row>
    <row r="628" ht="22.5" customHeight="1">
      <c r="A628" s="3" t="s">
        <v>643</v>
      </c>
      <c r="B628" s="4">
        <v>55.0</v>
      </c>
      <c r="C628" s="3" t="s">
        <v>11</v>
      </c>
      <c r="D628" s="4">
        <v>61.19</v>
      </c>
      <c r="E628" s="4">
        <v>1.57</v>
      </c>
      <c r="F628" s="3" t="s">
        <v>17</v>
      </c>
      <c r="G628" s="3" t="s">
        <v>13</v>
      </c>
      <c r="H628" s="5">
        <f t="shared" si="19"/>
        <v>24.82453649</v>
      </c>
      <c r="I628" s="5">
        <f t="array" ref="I628">XLOOKUP(A628,protein_data!A:A,protein_data!B:B,"")</f>
        <v>125</v>
      </c>
      <c r="J628" s="5" t="str">
        <f t="shared" si="20"/>
        <v>Non-Responder</v>
      </c>
    </row>
    <row r="629" ht="22.5" customHeight="1">
      <c r="A629" s="3" t="s">
        <v>644</v>
      </c>
      <c r="B629" s="4">
        <v>55.0</v>
      </c>
      <c r="C629" s="3" t="s">
        <v>21</v>
      </c>
      <c r="D629" s="4">
        <v>109.21</v>
      </c>
      <c r="E629" s="4">
        <v>1.84</v>
      </c>
      <c r="F629" s="3" t="s">
        <v>17</v>
      </c>
      <c r="G629" s="3" t="s">
        <v>13</v>
      </c>
      <c r="H629" s="5">
        <f t="shared" si="19"/>
        <v>32.25720699</v>
      </c>
      <c r="I629" s="5">
        <f t="array" ref="I629">XLOOKUP(A629,protein_data!A:A,protein_data!B:B,"")</f>
        <v>132</v>
      </c>
      <c r="J629" s="5" t="str">
        <f t="shared" si="20"/>
        <v>Non-Responder</v>
      </c>
    </row>
    <row r="630" ht="22.5" customHeight="1">
      <c r="A630" s="3" t="s">
        <v>645</v>
      </c>
      <c r="B630" s="4">
        <v>59.0</v>
      </c>
      <c r="C630" s="3" t="s">
        <v>21</v>
      </c>
      <c r="D630" s="4">
        <v>105.77</v>
      </c>
      <c r="E630" s="4">
        <v>1.76</v>
      </c>
      <c r="F630" s="3" t="s">
        <v>12</v>
      </c>
      <c r="G630" s="3" t="s">
        <v>15</v>
      </c>
      <c r="H630" s="5">
        <f t="shared" si="19"/>
        <v>34.14579029</v>
      </c>
      <c r="I630" s="5">
        <f t="array" ref="I630">XLOOKUP(A630,protein_data!A:A,protein_data!B:B,"")</f>
        <v>128</v>
      </c>
      <c r="J630" s="5" t="str">
        <f t="shared" si="20"/>
        <v>Responder</v>
      </c>
    </row>
    <row r="631" ht="22.5" customHeight="1">
      <c r="A631" s="3" t="s">
        <v>646</v>
      </c>
      <c r="B631" s="4">
        <v>63.0</v>
      </c>
      <c r="C631" s="3" t="s">
        <v>11</v>
      </c>
      <c r="D631" s="4">
        <v>57.06</v>
      </c>
      <c r="E631" s="4">
        <v>1.52</v>
      </c>
      <c r="F631" s="3" t="s">
        <v>12</v>
      </c>
      <c r="G631" s="3" t="s">
        <v>15</v>
      </c>
      <c r="H631" s="5">
        <f t="shared" si="19"/>
        <v>24.69702216</v>
      </c>
      <c r="I631" s="5">
        <f t="array" ref="I631">XLOOKUP(A631,protein_data!A:A,protein_data!B:B,"")</f>
        <v>94</v>
      </c>
      <c r="J631" s="5" t="str">
        <f t="shared" si="20"/>
        <v>Responder</v>
      </c>
    </row>
    <row r="632" ht="22.5" customHeight="1">
      <c r="A632" s="3" t="s">
        <v>647</v>
      </c>
      <c r="B632" s="4">
        <v>67.0</v>
      </c>
      <c r="C632" s="3" t="s">
        <v>21</v>
      </c>
      <c r="D632" s="4">
        <v>88.85</v>
      </c>
      <c r="E632" s="4">
        <v>1.81</v>
      </c>
      <c r="F632" s="3" t="s">
        <v>12</v>
      </c>
      <c r="G632" s="3" t="s">
        <v>13</v>
      </c>
      <c r="H632" s="5">
        <f t="shared" si="19"/>
        <v>27.12066176</v>
      </c>
      <c r="I632" s="5">
        <f t="array" ref="I632">XLOOKUP(A632,protein_data!A:A,protein_data!B:B,"")</f>
        <v>114</v>
      </c>
      <c r="J632" s="5" t="str">
        <f t="shared" si="20"/>
        <v>Non-Responder</v>
      </c>
    </row>
    <row r="633" ht="22.5" customHeight="1">
      <c r="A633" s="3" t="s">
        <v>648</v>
      </c>
      <c r="B633" s="4">
        <v>56.0</v>
      </c>
      <c r="C633" s="3" t="s">
        <v>11</v>
      </c>
      <c r="D633" s="4">
        <v>94.51</v>
      </c>
      <c r="E633" s="4">
        <v>1.66</v>
      </c>
      <c r="F633" s="3" t="s">
        <v>12</v>
      </c>
      <c r="G633" s="3" t="s">
        <v>15</v>
      </c>
      <c r="H633" s="5">
        <f t="shared" si="19"/>
        <v>34.29743069</v>
      </c>
      <c r="I633" s="5">
        <f t="array" ref="I633">XLOOKUP(A633,protein_data!A:A,protein_data!B:B,"")</f>
        <v>102</v>
      </c>
      <c r="J633" s="5" t="str">
        <f t="shared" si="20"/>
        <v>Responder</v>
      </c>
    </row>
    <row r="634" ht="22.5" customHeight="1">
      <c r="A634" s="3" t="s">
        <v>649</v>
      </c>
      <c r="B634" s="4">
        <v>66.0</v>
      </c>
      <c r="C634" s="3" t="s">
        <v>11</v>
      </c>
      <c r="D634" s="4">
        <v>68.7</v>
      </c>
      <c r="E634" s="4">
        <v>1.62</v>
      </c>
      <c r="F634" s="3" t="s">
        <v>12</v>
      </c>
      <c r="G634" s="3" t="s">
        <v>13</v>
      </c>
      <c r="H634" s="5">
        <f t="shared" si="19"/>
        <v>26.17741198</v>
      </c>
      <c r="I634" s="5">
        <f t="array" ref="I634">XLOOKUP(A634,protein_data!A:A,protein_data!B:B,"")</f>
        <v>111</v>
      </c>
      <c r="J634" s="5" t="str">
        <f t="shared" si="20"/>
        <v>Non-Responder</v>
      </c>
    </row>
    <row r="635" ht="22.5" customHeight="1">
      <c r="A635" s="3" t="s">
        <v>650</v>
      </c>
      <c r="B635" s="4">
        <v>55.0</v>
      </c>
      <c r="C635" s="3" t="s">
        <v>21</v>
      </c>
      <c r="D635" s="4">
        <v>86.66</v>
      </c>
      <c r="E635" s="4">
        <v>1.78</v>
      </c>
      <c r="F635" s="3" t="s">
        <v>12</v>
      </c>
      <c r="G635" s="3" t="s">
        <v>13</v>
      </c>
      <c r="H635" s="5">
        <f t="shared" si="19"/>
        <v>27.35134453</v>
      </c>
      <c r="I635" s="5">
        <f t="array" ref="I635">XLOOKUP(A635,protein_data!A:A,protein_data!B:B,"")</f>
        <v>128</v>
      </c>
      <c r="J635" s="5" t="str">
        <f t="shared" si="20"/>
        <v>Non-Responder</v>
      </c>
    </row>
    <row r="636" ht="22.5" customHeight="1">
      <c r="A636" s="3" t="s">
        <v>651</v>
      </c>
      <c r="B636" s="4">
        <v>64.0</v>
      </c>
      <c r="C636" s="3" t="s">
        <v>21</v>
      </c>
      <c r="D636" s="4">
        <v>77.81</v>
      </c>
      <c r="E636" s="4">
        <v>1.74</v>
      </c>
      <c r="F636" s="3" t="s">
        <v>12</v>
      </c>
      <c r="G636" s="3" t="s">
        <v>15</v>
      </c>
      <c r="H636" s="5">
        <f t="shared" si="19"/>
        <v>25.7002246</v>
      </c>
      <c r="I636" s="5">
        <f t="array" ref="I636">XLOOKUP(A636,protein_data!A:A,protein_data!B:B,"")</f>
        <v>92</v>
      </c>
      <c r="J636" s="5" t="str">
        <f t="shared" si="20"/>
        <v>Responder</v>
      </c>
    </row>
    <row r="637" ht="22.5" customHeight="1">
      <c r="A637" s="3" t="s">
        <v>652</v>
      </c>
      <c r="B637" s="4">
        <v>54.0</v>
      </c>
      <c r="C637" s="3" t="s">
        <v>21</v>
      </c>
      <c r="D637" s="4">
        <v>103.6</v>
      </c>
      <c r="E637" s="4">
        <v>1.83</v>
      </c>
      <c r="F637" s="3" t="s">
        <v>12</v>
      </c>
      <c r="G637" s="3" t="s">
        <v>15</v>
      </c>
      <c r="H637" s="5">
        <f t="shared" si="19"/>
        <v>30.93553107</v>
      </c>
      <c r="I637" s="5">
        <f t="array" ref="I637">XLOOKUP(A637,protein_data!A:A,protein_data!B:B,"")</f>
        <v>104</v>
      </c>
      <c r="J637" s="5" t="str">
        <f t="shared" si="20"/>
        <v>Responder</v>
      </c>
    </row>
    <row r="638" ht="22.5" customHeight="1">
      <c r="A638" s="3" t="s">
        <v>653</v>
      </c>
      <c r="B638" s="4">
        <v>57.0</v>
      </c>
      <c r="C638" s="3" t="s">
        <v>11</v>
      </c>
      <c r="D638" s="4">
        <v>76.43</v>
      </c>
      <c r="E638" s="4">
        <v>1.63</v>
      </c>
      <c r="F638" s="3" t="s">
        <v>17</v>
      </c>
      <c r="G638" s="3" t="s">
        <v>13</v>
      </c>
      <c r="H638" s="5">
        <f t="shared" si="19"/>
        <v>28.7666077</v>
      </c>
      <c r="I638" s="5">
        <f t="array" ref="I638">XLOOKUP(A638,protein_data!A:A,protein_data!B:B,"")</f>
        <v>104</v>
      </c>
      <c r="J638" s="5" t="str">
        <f t="shared" si="20"/>
        <v>Non-Responder</v>
      </c>
    </row>
    <row r="639" ht="22.5" customHeight="1">
      <c r="A639" s="3" t="s">
        <v>654</v>
      </c>
      <c r="B639" s="4">
        <v>52.0</v>
      </c>
      <c r="C639" s="3" t="s">
        <v>21</v>
      </c>
      <c r="D639" s="4">
        <v>91.89</v>
      </c>
      <c r="E639" s="4">
        <v>1.71</v>
      </c>
      <c r="F639" s="3" t="s">
        <v>12</v>
      </c>
      <c r="G639" s="3" t="s">
        <v>15</v>
      </c>
      <c r="H639" s="5">
        <f t="shared" si="19"/>
        <v>31.42505386</v>
      </c>
      <c r="I639" s="5">
        <f t="array" ref="I639">XLOOKUP(A639,protein_data!A:A,protein_data!B:B,"")</f>
        <v>94</v>
      </c>
      <c r="J639" s="5" t="str">
        <f t="shared" si="20"/>
        <v>Responder</v>
      </c>
    </row>
    <row r="640" ht="22.5" customHeight="1">
      <c r="A640" s="3" t="s">
        <v>655</v>
      </c>
      <c r="B640" s="4">
        <v>68.0</v>
      </c>
      <c r="C640" s="3" t="s">
        <v>11</v>
      </c>
      <c r="D640" s="4">
        <v>101.43</v>
      </c>
      <c r="E640" s="4">
        <v>1.57</v>
      </c>
      <c r="F640" s="3" t="s">
        <v>17</v>
      </c>
      <c r="G640" s="3" t="s">
        <v>13</v>
      </c>
      <c r="H640" s="5">
        <f t="shared" si="19"/>
        <v>41.14974238</v>
      </c>
      <c r="I640" s="5">
        <f t="array" ref="I640">XLOOKUP(A640,protein_data!A:A,protein_data!B:B,"")</f>
        <v>97</v>
      </c>
      <c r="J640" s="5" t="str">
        <f t="shared" si="20"/>
        <v>Non-Responder</v>
      </c>
    </row>
    <row r="641" ht="22.5" customHeight="1">
      <c r="A641" s="3" t="s">
        <v>656</v>
      </c>
      <c r="B641" s="4">
        <v>73.0</v>
      </c>
      <c r="C641" s="3" t="s">
        <v>21</v>
      </c>
      <c r="D641" s="4">
        <v>63.63</v>
      </c>
      <c r="E641" s="4">
        <v>1.81</v>
      </c>
      <c r="F641" s="3" t="s">
        <v>17</v>
      </c>
      <c r="G641" s="3" t="s">
        <v>13</v>
      </c>
      <c r="H641" s="5">
        <f t="shared" si="19"/>
        <v>19.42248405</v>
      </c>
      <c r="I641" s="5">
        <f t="array" ref="I641">XLOOKUP(A641,protein_data!A:A,protein_data!B:B,"")</f>
        <v>100</v>
      </c>
      <c r="J641" s="5" t="str">
        <f t="shared" si="20"/>
        <v>Non-Responder</v>
      </c>
    </row>
    <row r="642" ht="22.5" customHeight="1">
      <c r="A642" s="3" t="s">
        <v>657</v>
      </c>
      <c r="B642" s="4">
        <v>61.0</v>
      </c>
      <c r="C642" s="3" t="s">
        <v>21</v>
      </c>
      <c r="D642" s="4">
        <v>78.28</v>
      </c>
      <c r="E642" s="4">
        <v>1.64</v>
      </c>
      <c r="F642" s="3" t="s">
        <v>17</v>
      </c>
      <c r="G642" s="3" t="s">
        <v>15</v>
      </c>
      <c r="H642" s="5">
        <f t="shared" si="19"/>
        <v>29.10469958</v>
      </c>
      <c r="I642" s="5">
        <f t="array" ref="I642">XLOOKUP(A642,protein_data!A:A,protein_data!B:B,"")</f>
        <v>102</v>
      </c>
      <c r="J642" s="5" t="str">
        <f t="shared" si="20"/>
        <v>Responder</v>
      </c>
    </row>
    <row r="643" ht="22.5" customHeight="1">
      <c r="A643" s="3" t="s">
        <v>658</v>
      </c>
      <c r="B643" s="4">
        <v>66.0</v>
      </c>
      <c r="C643" s="3" t="s">
        <v>21</v>
      </c>
      <c r="D643" s="4">
        <v>108.34</v>
      </c>
      <c r="E643" s="4">
        <v>1.78</v>
      </c>
      <c r="F643" s="3" t="s">
        <v>12</v>
      </c>
      <c r="G643" s="3" t="s">
        <v>13</v>
      </c>
      <c r="H643" s="5">
        <f t="shared" si="19"/>
        <v>34.19391491</v>
      </c>
      <c r="I643" s="5">
        <f t="array" ref="I643">XLOOKUP(A643,protein_data!A:A,protein_data!B:B,"")</f>
        <v>128</v>
      </c>
      <c r="J643" s="5" t="str">
        <f t="shared" si="20"/>
        <v>Non-Responder</v>
      </c>
    </row>
    <row r="644" ht="22.5" customHeight="1">
      <c r="A644" s="3" t="s">
        <v>659</v>
      </c>
      <c r="B644" s="4">
        <v>65.0</v>
      </c>
      <c r="C644" s="3" t="s">
        <v>21</v>
      </c>
      <c r="D644" s="4">
        <v>92.14</v>
      </c>
      <c r="E644" s="4">
        <v>1.77</v>
      </c>
      <c r="F644" s="3" t="s">
        <v>12</v>
      </c>
      <c r="G644" s="3" t="s">
        <v>13</v>
      </c>
      <c r="H644" s="5">
        <f t="shared" si="19"/>
        <v>29.41045038</v>
      </c>
      <c r="I644" s="5">
        <f t="array" ref="I644">XLOOKUP(A644,protein_data!A:A,protein_data!B:B,"")</f>
        <v>147</v>
      </c>
      <c r="J644" s="5" t="str">
        <f t="shared" si="20"/>
        <v>Non-Responder</v>
      </c>
    </row>
    <row r="645" ht="22.5" customHeight="1">
      <c r="A645" s="3" t="s">
        <v>660</v>
      </c>
      <c r="B645" s="4">
        <v>64.0</v>
      </c>
      <c r="C645" s="3" t="s">
        <v>11</v>
      </c>
      <c r="D645" s="4">
        <v>60.69</v>
      </c>
      <c r="E645" s="4">
        <v>1.47</v>
      </c>
      <c r="F645" s="3" t="s">
        <v>17</v>
      </c>
      <c r="G645" s="3" t="s">
        <v>15</v>
      </c>
      <c r="H645" s="5">
        <f t="shared" si="19"/>
        <v>28.08551992</v>
      </c>
      <c r="I645" s="5">
        <f t="array" ref="I645">XLOOKUP(A645,protein_data!A:A,protein_data!B:B,"")</f>
        <v>90</v>
      </c>
      <c r="J645" s="5" t="str">
        <f t="shared" si="20"/>
        <v>Responder</v>
      </c>
    </row>
    <row r="646" ht="22.5" customHeight="1">
      <c r="A646" s="3" t="s">
        <v>661</v>
      </c>
      <c r="B646" s="4">
        <v>57.0</v>
      </c>
      <c r="C646" s="3" t="s">
        <v>21</v>
      </c>
      <c r="D646" s="4">
        <v>82.02</v>
      </c>
      <c r="E646" s="4">
        <v>1.73</v>
      </c>
      <c r="F646" s="3" t="s">
        <v>17</v>
      </c>
      <c r="G646" s="3" t="s">
        <v>13</v>
      </c>
      <c r="H646" s="5">
        <f t="shared" si="19"/>
        <v>27.40485816</v>
      </c>
      <c r="I646" s="5">
        <f t="array" ref="I646">XLOOKUP(A646,protein_data!A:A,protein_data!B:B,"")</f>
        <v>103</v>
      </c>
      <c r="J646" s="5" t="str">
        <f t="shared" si="20"/>
        <v>Non-Responder</v>
      </c>
    </row>
    <row r="647" ht="22.5" customHeight="1">
      <c r="A647" s="3" t="s">
        <v>662</v>
      </c>
      <c r="B647" s="4">
        <v>77.0</v>
      </c>
      <c r="C647" s="3" t="s">
        <v>11</v>
      </c>
      <c r="D647" s="4">
        <v>100.08</v>
      </c>
      <c r="E647" s="4">
        <v>1.59</v>
      </c>
      <c r="F647" s="3" t="s">
        <v>12</v>
      </c>
      <c r="G647" s="3" t="s">
        <v>13</v>
      </c>
      <c r="H647" s="5">
        <f t="shared" si="19"/>
        <v>39.58704165</v>
      </c>
      <c r="I647" s="5">
        <f t="array" ref="I647">XLOOKUP(A647,protein_data!A:A,protein_data!B:B,"")</f>
        <v>157</v>
      </c>
      <c r="J647" s="5" t="str">
        <f t="shared" si="20"/>
        <v>Non-Responder</v>
      </c>
    </row>
    <row r="648" ht="22.5" customHeight="1">
      <c r="A648" s="3" t="s">
        <v>663</v>
      </c>
      <c r="B648" s="4">
        <v>54.0</v>
      </c>
      <c r="C648" s="3" t="s">
        <v>11</v>
      </c>
      <c r="D648" s="4">
        <v>59.03</v>
      </c>
      <c r="E648" s="4">
        <v>1.59</v>
      </c>
      <c r="F648" s="3" t="s">
        <v>12</v>
      </c>
      <c r="G648" s="3" t="s">
        <v>13</v>
      </c>
      <c r="H648" s="5">
        <f t="shared" si="19"/>
        <v>23.34955105</v>
      </c>
      <c r="I648" s="5">
        <f t="array" ref="I648">XLOOKUP(A648,protein_data!A:A,protein_data!B:B,"")</f>
        <v>167</v>
      </c>
      <c r="J648" s="5" t="str">
        <f t="shared" si="20"/>
        <v>Non-Responder</v>
      </c>
    </row>
    <row r="649" ht="22.5" customHeight="1">
      <c r="A649" s="3" t="s">
        <v>664</v>
      </c>
      <c r="B649" s="4">
        <v>70.0</v>
      </c>
      <c r="C649" s="3" t="s">
        <v>21</v>
      </c>
      <c r="D649" s="4">
        <v>118.19</v>
      </c>
      <c r="E649" s="4">
        <v>1.78</v>
      </c>
      <c r="F649" s="3" t="s">
        <v>17</v>
      </c>
      <c r="G649" s="3" t="s">
        <v>13</v>
      </c>
      <c r="H649" s="5">
        <f t="shared" si="19"/>
        <v>37.30273955</v>
      </c>
      <c r="I649" s="5">
        <f t="array" ref="I649">XLOOKUP(A649,protein_data!A:A,protein_data!B:B,"")</f>
        <v>179</v>
      </c>
      <c r="J649" s="5" t="str">
        <f t="shared" si="20"/>
        <v>Non-Responder</v>
      </c>
    </row>
    <row r="650" ht="22.5" customHeight="1">
      <c r="A650" s="3" t="s">
        <v>665</v>
      </c>
      <c r="B650" s="4">
        <v>71.0</v>
      </c>
      <c r="C650" s="3" t="s">
        <v>11</v>
      </c>
      <c r="D650" s="4">
        <v>75.55</v>
      </c>
      <c r="E650" s="4">
        <v>1.63</v>
      </c>
      <c r="F650" s="3" t="s">
        <v>12</v>
      </c>
      <c r="G650" s="3" t="s">
        <v>13</v>
      </c>
      <c r="H650" s="5">
        <f t="shared" si="19"/>
        <v>28.43539463</v>
      </c>
      <c r="I650" s="5">
        <f t="array" ref="I650">XLOOKUP(A650,protein_data!A:A,protein_data!B:B,"")</f>
        <v>136</v>
      </c>
      <c r="J650" s="5" t="str">
        <f t="shared" si="20"/>
        <v>Non-Responder</v>
      </c>
    </row>
    <row r="651" ht="22.5" customHeight="1">
      <c r="A651" s="3" t="s">
        <v>666</v>
      </c>
      <c r="B651" s="4">
        <v>50.0</v>
      </c>
      <c r="C651" s="3" t="s">
        <v>21</v>
      </c>
      <c r="D651" s="4">
        <v>87.27</v>
      </c>
      <c r="E651" s="4">
        <v>1.83</v>
      </c>
      <c r="F651" s="3" t="s">
        <v>17</v>
      </c>
      <c r="G651" s="3" t="s">
        <v>13</v>
      </c>
      <c r="H651" s="5">
        <f t="shared" si="19"/>
        <v>26.05930305</v>
      </c>
      <c r="I651" s="5">
        <f t="array" ref="I651">XLOOKUP(A651,protein_data!A:A,protein_data!B:B,"")</f>
        <v>107</v>
      </c>
      <c r="J651" s="5" t="str">
        <f t="shared" si="20"/>
        <v>Non-Responder</v>
      </c>
    </row>
    <row r="652" ht="22.5" customHeight="1">
      <c r="A652" s="3" t="s">
        <v>667</v>
      </c>
      <c r="B652" s="4">
        <v>45.0</v>
      </c>
      <c r="C652" s="3" t="s">
        <v>11</v>
      </c>
      <c r="D652" s="4">
        <v>66.45</v>
      </c>
      <c r="E652" s="4">
        <v>1.62</v>
      </c>
      <c r="F652" s="3" t="s">
        <v>12</v>
      </c>
      <c r="G652" s="3" t="s">
        <v>15</v>
      </c>
      <c r="H652" s="5">
        <f t="shared" si="19"/>
        <v>25.32007316</v>
      </c>
      <c r="I652" s="5">
        <f t="array" ref="I652">XLOOKUP(A652,protein_data!A:A,protein_data!B:B,"")</f>
        <v>91</v>
      </c>
      <c r="J652" s="5" t="str">
        <f t="shared" si="20"/>
        <v>Responder</v>
      </c>
    </row>
    <row r="653" ht="22.5" customHeight="1">
      <c r="A653" s="3" t="s">
        <v>668</v>
      </c>
      <c r="B653" s="4">
        <v>61.0</v>
      </c>
      <c r="C653" s="3" t="s">
        <v>11</v>
      </c>
      <c r="D653" s="4">
        <v>75.67</v>
      </c>
      <c r="E653" s="4">
        <v>1.5</v>
      </c>
      <c r="F653" s="3" t="s">
        <v>17</v>
      </c>
      <c r="G653" s="3" t="s">
        <v>13</v>
      </c>
      <c r="H653" s="5">
        <f t="shared" si="19"/>
        <v>33.63111111</v>
      </c>
      <c r="I653" s="5">
        <f t="array" ref="I653">XLOOKUP(A653,protein_data!A:A,protein_data!B:B,"")</f>
        <v>117</v>
      </c>
      <c r="J653" s="5" t="str">
        <f t="shared" si="20"/>
        <v>Non-Responder</v>
      </c>
    </row>
    <row r="654" ht="22.5" customHeight="1">
      <c r="A654" s="3" t="s">
        <v>669</v>
      </c>
      <c r="B654" s="4">
        <v>71.0</v>
      </c>
      <c r="C654" s="3" t="s">
        <v>11</v>
      </c>
      <c r="D654" s="4">
        <v>81.11</v>
      </c>
      <c r="E654" s="4">
        <v>1.54</v>
      </c>
      <c r="F654" s="3" t="s">
        <v>17</v>
      </c>
      <c r="G654" s="3" t="s">
        <v>15</v>
      </c>
      <c r="H654" s="5">
        <f t="shared" si="19"/>
        <v>34.20053972</v>
      </c>
      <c r="I654" s="5">
        <f t="array" ref="I654">XLOOKUP(A654,protein_data!A:A,protein_data!B:B,"")</f>
        <v>123</v>
      </c>
      <c r="J654" s="5" t="str">
        <f t="shared" si="20"/>
        <v>Responder</v>
      </c>
    </row>
    <row r="655" ht="22.5" customHeight="1">
      <c r="A655" s="3" t="s">
        <v>670</v>
      </c>
      <c r="B655" s="4">
        <v>62.0</v>
      </c>
      <c r="C655" s="3" t="s">
        <v>21</v>
      </c>
      <c r="D655" s="4">
        <v>83.59</v>
      </c>
      <c r="E655" s="4">
        <v>1.77</v>
      </c>
      <c r="F655" s="3" t="s">
        <v>17</v>
      </c>
      <c r="G655" s="3" t="s">
        <v>13</v>
      </c>
      <c r="H655" s="5">
        <f t="shared" si="19"/>
        <v>26.68134955</v>
      </c>
      <c r="I655" s="5">
        <f t="array" ref="I655">XLOOKUP(A655,protein_data!A:A,protein_data!B:B,"")</f>
        <v>120</v>
      </c>
      <c r="J655" s="5" t="str">
        <f t="shared" si="20"/>
        <v>Non-Responder</v>
      </c>
    </row>
    <row r="656" ht="22.5" customHeight="1">
      <c r="A656" s="3" t="s">
        <v>671</v>
      </c>
      <c r="B656" s="4">
        <v>57.0</v>
      </c>
      <c r="C656" s="3" t="s">
        <v>21</v>
      </c>
      <c r="D656" s="4">
        <v>109.88</v>
      </c>
      <c r="E656" s="4">
        <v>1.8</v>
      </c>
      <c r="F656" s="3" t="s">
        <v>12</v>
      </c>
      <c r="G656" s="3" t="s">
        <v>15</v>
      </c>
      <c r="H656" s="5">
        <f t="shared" si="19"/>
        <v>33.91358025</v>
      </c>
      <c r="I656" s="5">
        <f t="array" ref="I656">XLOOKUP(A656,protein_data!A:A,protein_data!B:B,"")</f>
        <v>106</v>
      </c>
      <c r="J656" s="5" t="str">
        <f t="shared" si="20"/>
        <v>Responder</v>
      </c>
    </row>
    <row r="657" ht="22.5" customHeight="1">
      <c r="A657" s="3" t="s">
        <v>672</v>
      </c>
      <c r="B657" s="4">
        <v>76.0</v>
      </c>
      <c r="C657" s="3" t="s">
        <v>11</v>
      </c>
      <c r="D657" s="4">
        <v>106.07</v>
      </c>
      <c r="E657" s="4">
        <v>1.66</v>
      </c>
      <c r="F657" s="3" t="s">
        <v>17</v>
      </c>
      <c r="G657" s="3" t="s">
        <v>13</v>
      </c>
      <c r="H657" s="5">
        <f t="shared" si="19"/>
        <v>38.49252431</v>
      </c>
      <c r="I657" s="5">
        <f t="array" ref="I657">XLOOKUP(A657,protein_data!A:A,protein_data!B:B,"")</f>
        <v>155</v>
      </c>
      <c r="J657" s="5" t="str">
        <f t="shared" si="20"/>
        <v>Non-Responder</v>
      </c>
    </row>
    <row r="658" ht="22.5" customHeight="1">
      <c r="A658" s="3" t="s">
        <v>673</v>
      </c>
      <c r="B658" s="4">
        <v>74.0</v>
      </c>
      <c r="C658" s="3" t="s">
        <v>21</v>
      </c>
      <c r="D658" s="4">
        <v>59.53</v>
      </c>
      <c r="E658" s="4">
        <v>1.66</v>
      </c>
      <c r="F658" s="3" t="s">
        <v>17</v>
      </c>
      <c r="G658" s="3" t="s">
        <v>13</v>
      </c>
      <c r="H658" s="5">
        <f t="shared" si="19"/>
        <v>21.60328059</v>
      </c>
      <c r="I658" s="5">
        <f t="array" ref="I658">XLOOKUP(A658,protein_data!A:A,protein_data!B:B,"")</f>
        <v>101</v>
      </c>
      <c r="J658" s="5" t="str">
        <f t="shared" si="20"/>
        <v>Non-Responder</v>
      </c>
    </row>
    <row r="659" ht="22.5" customHeight="1">
      <c r="A659" s="3" t="s">
        <v>674</v>
      </c>
      <c r="B659" s="4">
        <v>49.0</v>
      </c>
      <c r="C659" s="3" t="s">
        <v>11</v>
      </c>
      <c r="D659" s="4">
        <v>107.48</v>
      </c>
      <c r="E659" s="4">
        <v>1.66</v>
      </c>
      <c r="F659" s="3" t="s">
        <v>17</v>
      </c>
      <c r="G659" s="3" t="s">
        <v>15</v>
      </c>
      <c r="H659" s="5">
        <f t="shared" si="19"/>
        <v>39.00420961</v>
      </c>
      <c r="I659" s="5">
        <f t="array" ref="I659">XLOOKUP(A659,protein_data!A:A,protein_data!B:B,"")</f>
        <v>120</v>
      </c>
      <c r="J659" s="5" t="str">
        <f t="shared" si="20"/>
        <v>Responder</v>
      </c>
    </row>
    <row r="660" ht="22.5" customHeight="1">
      <c r="A660" s="3" t="s">
        <v>675</v>
      </c>
      <c r="B660" s="4">
        <v>59.0</v>
      </c>
      <c r="C660" s="3" t="s">
        <v>21</v>
      </c>
      <c r="D660" s="4">
        <v>115.9</v>
      </c>
      <c r="E660" s="4">
        <v>1.73</v>
      </c>
      <c r="F660" s="3" t="s">
        <v>12</v>
      </c>
      <c r="G660" s="3" t="s">
        <v>13</v>
      </c>
      <c r="H660" s="5">
        <f t="shared" si="19"/>
        <v>38.72498246</v>
      </c>
      <c r="I660" s="5">
        <f t="array" ref="I660">XLOOKUP(A660,protein_data!A:A,protein_data!B:B,"")</f>
        <v>127</v>
      </c>
      <c r="J660" s="5" t="str">
        <f t="shared" si="20"/>
        <v>Non-Responder</v>
      </c>
    </row>
    <row r="661" ht="22.5" customHeight="1">
      <c r="A661" s="3" t="s">
        <v>676</v>
      </c>
      <c r="B661" s="4">
        <v>61.0</v>
      </c>
      <c r="C661" s="3" t="s">
        <v>21</v>
      </c>
      <c r="D661" s="4">
        <v>116.48</v>
      </c>
      <c r="E661" s="4">
        <v>1.85</v>
      </c>
      <c r="F661" s="3" t="s">
        <v>17</v>
      </c>
      <c r="G661" s="3" t="s">
        <v>15</v>
      </c>
      <c r="H661" s="5">
        <f t="shared" si="19"/>
        <v>34.03360117</v>
      </c>
      <c r="I661" s="5">
        <f t="array" ref="I661">XLOOKUP(A661,protein_data!A:A,protein_data!B:B,"")</f>
        <v>80</v>
      </c>
      <c r="J661" s="5" t="str">
        <f t="shared" si="20"/>
        <v>Responder</v>
      </c>
    </row>
    <row r="662" ht="22.5" customHeight="1">
      <c r="A662" s="3" t="s">
        <v>677</v>
      </c>
      <c r="B662" s="4">
        <v>48.0</v>
      </c>
      <c r="C662" s="3" t="s">
        <v>11</v>
      </c>
      <c r="D662" s="4">
        <v>69.86</v>
      </c>
      <c r="E662" s="4">
        <v>1.59</v>
      </c>
      <c r="F662" s="3" t="s">
        <v>17</v>
      </c>
      <c r="G662" s="3" t="s">
        <v>13</v>
      </c>
      <c r="H662" s="5">
        <f t="shared" si="19"/>
        <v>27.63340058</v>
      </c>
      <c r="I662" s="5">
        <f t="array" ref="I662">XLOOKUP(A662,protein_data!A:A,protein_data!B:B,"")</f>
        <v>162</v>
      </c>
      <c r="J662" s="5" t="str">
        <f t="shared" si="20"/>
        <v>Non-Responder</v>
      </c>
    </row>
    <row r="663" ht="22.5" customHeight="1">
      <c r="A663" s="3" t="s">
        <v>678</v>
      </c>
      <c r="B663" s="4">
        <v>63.0</v>
      </c>
      <c r="C663" s="3" t="s">
        <v>11</v>
      </c>
      <c r="D663" s="4">
        <v>116.52</v>
      </c>
      <c r="E663" s="4">
        <v>1.65</v>
      </c>
      <c r="F663" s="3" t="s">
        <v>12</v>
      </c>
      <c r="G663" s="3" t="s">
        <v>13</v>
      </c>
      <c r="H663" s="5">
        <f t="shared" si="19"/>
        <v>42.79889807</v>
      </c>
      <c r="I663" s="5">
        <f t="array" ref="I663">XLOOKUP(A663,protein_data!A:A,protein_data!B:B,"")</f>
        <v>199</v>
      </c>
      <c r="J663" s="5" t="str">
        <f t="shared" si="20"/>
        <v>Non-Responder</v>
      </c>
    </row>
    <row r="664" ht="22.5" customHeight="1">
      <c r="A664" s="3" t="s">
        <v>679</v>
      </c>
      <c r="B664" s="4">
        <v>52.0</v>
      </c>
      <c r="C664" s="3" t="s">
        <v>11</v>
      </c>
      <c r="D664" s="4">
        <v>104.86</v>
      </c>
      <c r="E664" s="4">
        <v>1.67</v>
      </c>
      <c r="F664" s="3" t="s">
        <v>12</v>
      </c>
      <c r="G664" s="3" t="s">
        <v>13</v>
      </c>
      <c r="H664" s="5">
        <f t="shared" si="19"/>
        <v>37.59905339</v>
      </c>
      <c r="I664" s="5">
        <f t="array" ref="I664">XLOOKUP(A664,protein_data!A:A,protein_data!B:B,"")</f>
        <v>167</v>
      </c>
      <c r="J664" s="5" t="str">
        <f t="shared" si="20"/>
        <v>Non-Responder</v>
      </c>
    </row>
    <row r="665" ht="22.5" customHeight="1">
      <c r="A665" s="3" t="s">
        <v>680</v>
      </c>
      <c r="B665" s="4">
        <v>72.0</v>
      </c>
      <c r="C665" s="3" t="s">
        <v>11</v>
      </c>
      <c r="D665" s="4">
        <v>95.88</v>
      </c>
      <c r="E665" s="4">
        <v>1.59</v>
      </c>
      <c r="F665" s="3" t="s">
        <v>12</v>
      </c>
      <c r="G665" s="3" t="s">
        <v>13</v>
      </c>
      <c r="H665" s="5">
        <f t="shared" si="19"/>
        <v>37.92571496</v>
      </c>
      <c r="I665" s="5">
        <f t="array" ref="I665">XLOOKUP(A665,protein_data!A:A,protein_data!B:B,"")</f>
        <v>145</v>
      </c>
      <c r="J665" s="5" t="str">
        <f t="shared" si="20"/>
        <v>Non-Responder</v>
      </c>
    </row>
    <row r="666" ht="22.5" customHeight="1">
      <c r="A666" s="3" t="s">
        <v>681</v>
      </c>
      <c r="B666" s="4">
        <v>50.0</v>
      </c>
      <c r="C666" s="3" t="s">
        <v>21</v>
      </c>
      <c r="D666" s="4">
        <v>106.33</v>
      </c>
      <c r="E666" s="4">
        <v>1.78</v>
      </c>
      <c r="F666" s="3" t="s">
        <v>17</v>
      </c>
      <c r="G666" s="3" t="s">
        <v>15</v>
      </c>
      <c r="H666" s="5">
        <f t="shared" si="19"/>
        <v>33.55952531</v>
      </c>
      <c r="I666" s="5">
        <f t="array" ref="I666">XLOOKUP(A666,protein_data!A:A,protein_data!B:B,"")</f>
        <v>115</v>
      </c>
      <c r="J666" s="5" t="str">
        <f t="shared" si="20"/>
        <v>Responder</v>
      </c>
    </row>
    <row r="667" ht="22.5" customHeight="1">
      <c r="A667" s="3" t="s">
        <v>682</v>
      </c>
      <c r="B667" s="4">
        <v>61.0</v>
      </c>
      <c r="C667" s="3" t="s">
        <v>11</v>
      </c>
      <c r="D667" s="4">
        <v>87.52</v>
      </c>
      <c r="E667" s="4">
        <v>1.59</v>
      </c>
      <c r="F667" s="3" t="s">
        <v>12</v>
      </c>
      <c r="G667" s="3" t="s">
        <v>15</v>
      </c>
      <c r="H667" s="5">
        <f t="shared" si="19"/>
        <v>34.61888375</v>
      </c>
      <c r="I667" s="5">
        <f t="array" ref="I667">XLOOKUP(A667,protein_data!A:A,protein_data!B:B,"")</f>
        <v>112</v>
      </c>
      <c r="J667" s="5" t="str">
        <f t="shared" si="20"/>
        <v>Responder</v>
      </c>
    </row>
    <row r="668" ht="22.5" customHeight="1">
      <c r="A668" s="3" t="s">
        <v>683</v>
      </c>
      <c r="B668" s="4">
        <v>59.0</v>
      </c>
      <c r="C668" s="3" t="s">
        <v>11</v>
      </c>
      <c r="D668" s="4">
        <v>77.06</v>
      </c>
      <c r="E668" s="4">
        <v>1.54</v>
      </c>
      <c r="F668" s="3" t="s">
        <v>12</v>
      </c>
      <c r="G668" s="3" t="s">
        <v>13</v>
      </c>
      <c r="H668" s="5">
        <f t="shared" si="19"/>
        <v>32.49283184</v>
      </c>
      <c r="I668" s="5">
        <f t="array" ref="I668">XLOOKUP(A668,protein_data!A:A,protein_data!B:B,"")</f>
        <v>145</v>
      </c>
      <c r="J668" s="5" t="str">
        <f t="shared" si="20"/>
        <v>Non-Responder</v>
      </c>
    </row>
    <row r="669" ht="22.5" customHeight="1">
      <c r="A669" s="3" t="s">
        <v>684</v>
      </c>
      <c r="B669" s="4">
        <v>67.0</v>
      </c>
      <c r="C669" s="3" t="s">
        <v>11</v>
      </c>
      <c r="D669" s="4">
        <v>67.99</v>
      </c>
      <c r="E669" s="4">
        <v>1.57</v>
      </c>
      <c r="F669" s="3" t="s">
        <v>17</v>
      </c>
      <c r="G669" s="3" t="s">
        <v>13</v>
      </c>
      <c r="H669" s="5">
        <f t="shared" si="19"/>
        <v>27.5832691</v>
      </c>
      <c r="I669" s="5">
        <f t="array" ref="I669">XLOOKUP(A669,protein_data!A:A,protein_data!B:B,"")</f>
        <v>111</v>
      </c>
      <c r="J669" s="5" t="str">
        <f t="shared" si="20"/>
        <v>Non-Responder</v>
      </c>
    </row>
    <row r="670" ht="22.5" customHeight="1">
      <c r="A670" s="3" t="s">
        <v>685</v>
      </c>
      <c r="B670" s="4">
        <v>69.0</v>
      </c>
      <c r="C670" s="3" t="s">
        <v>11</v>
      </c>
      <c r="D670" s="4">
        <v>78.65</v>
      </c>
      <c r="E670" s="4">
        <v>1.52</v>
      </c>
      <c r="F670" s="3" t="s">
        <v>12</v>
      </c>
      <c r="G670" s="3" t="s">
        <v>15</v>
      </c>
      <c r="H670" s="5">
        <f t="shared" si="19"/>
        <v>34.04172438</v>
      </c>
      <c r="I670" s="5">
        <f t="array" ref="I670">XLOOKUP(A670,protein_data!A:A,protein_data!B:B,"")</f>
        <v>98</v>
      </c>
      <c r="J670" s="5" t="str">
        <f t="shared" si="20"/>
        <v>Responder</v>
      </c>
    </row>
    <row r="671" ht="22.5" customHeight="1">
      <c r="A671" s="3" t="s">
        <v>686</v>
      </c>
      <c r="B671" s="4">
        <v>52.0</v>
      </c>
      <c r="C671" s="3" t="s">
        <v>11</v>
      </c>
      <c r="D671" s="4">
        <v>82.06</v>
      </c>
      <c r="E671" s="4">
        <v>1.63</v>
      </c>
      <c r="F671" s="3" t="s">
        <v>17</v>
      </c>
      <c r="G671" s="3" t="s">
        <v>13</v>
      </c>
      <c r="H671" s="5">
        <f t="shared" si="19"/>
        <v>30.88561858</v>
      </c>
      <c r="I671" s="5">
        <f t="array" ref="I671">XLOOKUP(A671,protein_data!A:A,protein_data!B:B,"")</f>
        <v>154</v>
      </c>
      <c r="J671" s="5" t="str">
        <f t="shared" si="20"/>
        <v>Non-Responder</v>
      </c>
    </row>
    <row r="672" ht="22.5" customHeight="1">
      <c r="A672" s="3" t="s">
        <v>687</v>
      </c>
      <c r="B672" s="4">
        <v>63.0</v>
      </c>
      <c r="C672" s="3" t="s">
        <v>21</v>
      </c>
      <c r="D672" s="4">
        <v>110.99</v>
      </c>
      <c r="E672" s="4">
        <v>1.83</v>
      </c>
      <c r="F672" s="3" t="s">
        <v>12</v>
      </c>
      <c r="G672" s="3" t="s">
        <v>13</v>
      </c>
      <c r="H672" s="5">
        <f t="shared" si="19"/>
        <v>33.14222581</v>
      </c>
      <c r="I672" s="5">
        <f t="array" ref="I672">XLOOKUP(A672,protein_data!A:A,protein_data!B:B,"")</f>
        <v>165</v>
      </c>
      <c r="J672" s="5" t="str">
        <f t="shared" si="20"/>
        <v>Non-Responder</v>
      </c>
    </row>
    <row r="673" ht="22.5" customHeight="1">
      <c r="A673" s="3" t="s">
        <v>688</v>
      </c>
      <c r="B673" s="4">
        <v>57.0</v>
      </c>
      <c r="C673" s="3" t="s">
        <v>21</v>
      </c>
      <c r="D673" s="4">
        <v>79.96</v>
      </c>
      <c r="E673" s="4">
        <v>1.78</v>
      </c>
      <c r="F673" s="3" t="s">
        <v>12</v>
      </c>
      <c r="G673" s="3" t="s">
        <v>13</v>
      </c>
      <c r="H673" s="5">
        <f t="shared" si="19"/>
        <v>25.23671254</v>
      </c>
      <c r="I673" s="5">
        <f t="array" ref="I673">XLOOKUP(A673,protein_data!A:A,protein_data!B:B,"")</f>
        <v>99</v>
      </c>
      <c r="J673" s="5" t="str">
        <f t="shared" si="20"/>
        <v>Non-Responder</v>
      </c>
    </row>
    <row r="674" ht="22.5" customHeight="1">
      <c r="A674" s="3" t="s">
        <v>689</v>
      </c>
      <c r="B674" s="4">
        <v>62.0</v>
      </c>
      <c r="C674" s="3" t="s">
        <v>11</v>
      </c>
      <c r="D674" s="4">
        <v>84.6</v>
      </c>
      <c r="E674" s="4">
        <v>1.54</v>
      </c>
      <c r="F674" s="3" t="s">
        <v>17</v>
      </c>
      <c r="G674" s="3" t="s">
        <v>13</v>
      </c>
      <c r="H674" s="5">
        <f t="shared" si="19"/>
        <v>35.67212009</v>
      </c>
      <c r="I674" s="5">
        <f t="array" ref="I674">XLOOKUP(A674,protein_data!A:A,protein_data!B:B,"")</f>
        <v>68</v>
      </c>
      <c r="J674" s="5" t="str">
        <f t="shared" si="20"/>
        <v>Non-Responder</v>
      </c>
    </row>
    <row r="675" ht="22.5" customHeight="1">
      <c r="A675" s="3" t="s">
        <v>690</v>
      </c>
      <c r="B675" s="4">
        <v>65.0</v>
      </c>
      <c r="C675" s="3" t="s">
        <v>21</v>
      </c>
      <c r="D675" s="4">
        <v>182.5</v>
      </c>
      <c r="E675" s="4">
        <v>1.79</v>
      </c>
      <c r="F675" s="3" t="s">
        <v>17</v>
      </c>
      <c r="G675" s="3" t="s">
        <v>15</v>
      </c>
      <c r="H675" s="5">
        <f t="shared" si="19"/>
        <v>56.95827221</v>
      </c>
      <c r="I675" s="5">
        <f t="array" ref="I675">XLOOKUP(A675,protein_data!A:A,protein_data!B:B,"")</f>
        <v>123</v>
      </c>
      <c r="J675" s="5" t="str">
        <f t="shared" si="20"/>
        <v>Responder</v>
      </c>
    </row>
    <row r="676" ht="22.5" customHeight="1">
      <c r="A676" s="3" t="s">
        <v>691</v>
      </c>
      <c r="B676" s="4">
        <v>54.0</v>
      </c>
      <c r="C676" s="3" t="s">
        <v>21</v>
      </c>
      <c r="D676" s="4">
        <v>107.88</v>
      </c>
      <c r="E676" s="4">
        <v>1.75</v>
      </c>
      <c r="F676" s="3" t="s">
        <v>17</v>
      </c>
      <c r="G676" s="3" t="s">
        <v>15</v>
      </c>
      <c r="H676" s="5">
        <f t="shared" si="19"/>
        <v>35.22612245</v>
      </c>
      <c r="I676" s="5">
        <f t="array" ref="I676">XLOOKUP(A676,protein_data!A:A,protein_data!B:B,"")</f>
        <v>91</v>
      </c>
      <c r="J676" s="5" t="str">
        <f t="shared" si="20"/>
        <v>Responder</v>
      </c>
    </row>
    <row r="677" ht="22.5" customHeight="1">
      <c r="A677" s="3" t="s">
        <v>692</v>
      </c>
      <c r="B677" s="4">
        <v>63.0</v>
      </c>
      <c r="C677" s="3" t="s">
        <v>21</v>
      </c>
      <c r="D677" s="4">
        <v>88.98</v>
      </c>
      <c r="E677" s="4">
        <v>1.7</v>
      </c>
      <c r="F677" s="3" t="s">
        <v>12</v>
      </c>
      <c r="G677" s="3" t="s">
        <v>13</v>
      </c>
      <c r="H677" s="5">
        <f t="shared" si="19"/>
        <v>30.78892734</v>
      </c>
      <c r="I677" s="5">
        <f t="array" ref="I677">XLOOKUP(A677,protein_data!A:A,protein_data!B:B,"")</f>
        <v>195</v>
      </c>
      <c r="J677" s="5" t="str">
        <f t="shared" si="20"/>
        <v>Non-Responder</v>
      </c>
    </row>
    <row r="678" ht="22.5" customHeight="1">
      <c r="A678" s="3" t="s">
        <v>693</v>
      </c>
      <c r="B678" s="4">
        <v>53.0</v>
      </c>
      <c r="C678" s="3" t="s">
        <v>11</v>
      </c>
      <c r="D678" s="4">
        <v>51.6</v>
      </c>
      <c r="E678" s="4">
        <v>1.44</v>
      </c>
      <c r="F678" s="3" t="s">
        <v>12</v>
      </c>
      <c r="G678" s="3" t="s">
        <v>13</v>
      </c>
      <c r="H678" s="5">
        <f t="shared" si="19"/>
        <v>24.88425926</v>
      </c>
      <c r="I678" s="5">
        <f t="array" ref="I678">XLOOKUP(A678,protein_data!A:A,protein_data!B:B,"")</f>
        <v>156</v>
      </c>
      <c r="J678" s="5" t="str">
        <f t="shared" si="20"/>
        <v>Non-Responder</v>
      </c>
    </row>
    <row r="679" ht="22.5" customHeight="1">
      <c r="A679" s="3" t="s">
        <v>694</v>
      </c>
      <c r="B679" s="4">
        <v>66.0</v>
      </c>
      <c r="C679" s="3" t="s">
        <v>11</v>
      </c>
      <c r="D679" s="4">
        <v>93.42</v>
      </c>
      <c r="E679" s="4">
        <v>1.63</v>
      </c>
      <c r="F679" s="3" t="s">
        <v>17</v>
      </c>
      <c r="G679" s="3" t="s">
        <v>15</v>
      </c>
      <c r="H679" s="5">
        <f t="shared" si="19"/>
        <v>35.16127818</v>
      </c>
      <c r="I679" s="5">
        <f t="array" ref="I679">XLOOKUP(A679,protein_data!A:A,protein_data!B:B,"")</f>
        <v>93</v>
      </c>
      <c r="J679" s="5" t="str">
        <f t="shared" si="20"/>
        <v>Responder</v>
      </c>
    </row>
    <row r="680" ht="22.5" customHeight="1">
      <c r="A680" s="3" t="s">
        <v>695</v>
      </c>
      <c r="B680" s="4">
        <v>56.0</v>
      </c>
      <c r="C680" s="3" t="s">
        <v>21</v>
      </c>
      <c r="D680" s="4">
        <v>109.84</v>
      </c>
      <c r="E680" s="4">
        <v>1.75</v>
      </c>
      <c r="F680" s="3" t="s">
        <v>17</v>
      </c>
      <c r="G680" s="3" t="s">
        <v>13</v>
      </c>
      <c r="H680" s="5">
        <f t="shared" si="19"/>
        <v>35.86612245</v>
      </c>
      <c r="I680" s="5">
        <f t="array" ref="I680">XLOOKUP(A680,protein_data!A:A,protein_data!B:B,"")</f>
        <v>121</v>
      </c>
      <c r="J680" s="5" t="str">
        <f t="shared" si="20"/>
        <v>Non-Responder</v>
      </c>
    </row>
    <row r="681" ht="22.5" customHeight="1">
      <c r="A681" s="3" t="s">
        <v>696</v>
      </c>
      <c r="B681" s="4">
        <v>68.0</v>
      </c>
      <c r="C681" s="3" t="s">
        <v>21</v>
      </c>
      <c r="D681" s="4">
        <v>71.99</v>
      </c>
      <c r="E681" s="4">
        <v>1.73</v>
      </c>
      <c r="F681" s="3" t="s">
        <v>12</v>
      </c>
      <c r="G681" s="3" t="s">
        <v>15</v>
      </c>
      <c r="H681" s="5">
        <f t="shared" si="19"/>
        <v>24.0535935</v>
      </c>
      <c r="I681" s="5">
        <f t="array" ref="I681">XLOOKUP(A681,protein_data!A:A,protein_data!B:B,"")</f>
        <v>101</v>
      </c>
      <c r="J681" s="5" t="str">
        <f t="shared" si="20"/>
        <v>Responder</v>
      </c>
    </row>
    <row r="682" ht="22.5" customHeight="1">
      <c r="A682" s="3" t="s">
        <v>697</v>
      </c>
      <c r="B682" s="4">
        <v>72.0</v>
      </c>
      <c r="C682" s="3" t="s">
        <v>21</v>
      </c>
      <c r="D682" s="4">
        <v>70.41</v>
      </c>
      <c r="E682" s="4">
        <v>1.71</v>
      </c>
      <c r="F682" s="3" t="s">
        <v>12</v>
      </c>
      <c r="G682" s="3" t="s">
        <v>15</v>
      </c>
      <c r="H682" s="5">
        <f t="shared" si="19"/>
        <v>24.07920386</v>
      </c>
      <c r="I682" s="5">
        <f t="array" ref="I682">XLOOKUP(A682,protein_data!A:A,protein_data!B:B,"")</f>
        <v>56</v>
      </c>
      <c r="J682" s="5" t="str">
        <f t="shared" si="20"/>
        <v>Responder</v>
      </c>
    </row>
    <row r="683" ht="22.5" customHeight="1">
      <c r="A683" s="3" t="s">
        <v>698</v>
      </c>
      <c r="B683" s="4">
        <v>56.0</v>
      </c>
      <c r="C683" s="3" t="s">
        <v>11</v>
      </c>
      <c r="D683" s="4">
        <v>138.57</v>
      </c>
      <c r="E683" s="4">
        <v>1.67</v>
      </c>
      <c r="F683" s="3" t="s">
        <v>12</v>
      </c>
      <c r="G683" s="3" t="s">
        <v>13</v>
      </c>
      <c r="H683" s="5">
        <f t="shared" si="19"/>
        <v>49.68625623</v>
      </c>
      <c r="I683" s="5">
        <f t="array" ref="I683">XLOOKUP(A683,protein_data!A:A,protein_data!B:B,"")</f>
        <v>162</v>
      </c>
      <c r="J683" s="5" t="str">
        <f t="shared" si="20"/>
        <v>Non-Responder</v>
      </c>
    </row>
    <row r="684" ht="22.5" customHeight="1">
      <c r="A684" s="3" t="s">
        <v>699</v>
      </c>
      <c r="B684" s="4">
        <v>65.0</v>
      </c>
      <c r="C684" s="3" t="s">
        <v>11</v>
      </c>
      <c r="D684" s="4">
        <v>130.61</v>
      </c>
      <c r="E684" s="4">
        <v>1.71</v>
      </c>
      <c r="F684" s="3" t="s">
        <v>17</v>
      </c>
      <c r="G684" s="3" t="s">
        <v>15</v>
      </c>
      <c r="H684" s="5">
        <f t="shared" si="19"/>
        <v>44.66673506</v>
      </c>
      <c r="I684" s="5">
        <f t="array" ref="I684">XLOOKUP(A684,protein_data!A:A,protein_data!B:B,"")</f>
        <v>95</v>
      </c>
      <c r="J684" s="5" t="str">
        <f t="shared" si="20"/>
        <v>Responder</v>
      </c>
    </row>
    <row r="685" ht="22.5" customHeight="1">
      <c r="A685" s="3" t="s">
        <v>700</v>
      </c>
      <c r="B685" s="4">
        <v>57.0</v>
      </c>
      <c r="C685" s="3" t="s">
        <v>11</v>
      </c>
      <c r="D685" s="4">
        <v>73.89</v>
      </c>
      <c r="E685" s="4">
        <v>1.51</v>
      </c>
      <c r="F685" s="3" t="s">
        <v>12</v>
      </c>
      <c r="G685" s="3" t="s">
        <v>15</v>
      </c>
      <c r="H685" s="5">
        <f t="shared" si="19"/>
        <v>32.4064734</v>
      </c>
      <c r="I685" s="5">
        <f t="array" ref="I685">XLOOKUP(A685,protein_data!A:A,protein_data!B:B,"")</f>
        <v>125</v>
      </c>
      <c r="J685" s="5" t="str">
        <f t="shared" si="20"/>
        <v>Responder</v>
      </c>
    </row>
    <row r="686" ht="22.5" hidden="1" customHeight="1">
      <c r="A686" s="3" t="s">
        <v>701</v>
      </c>
      <c r="B686" s="4">
        <v>74.0</v>
      </c>
      <c r="C686" s="3" t="s">
        <v>21</v>
      </c>
      <c r="D686" s="3" t="s">
        <v>26</v>
      </c>
      <c r="E686" s="4">
        <v>1.81</v>
      </c>
      <c r="F686" s="3" t="s">
        <v>17</v>
      </c>
      <c r="G686" s="3" t="s">
        <v>13</v>
      </c>
      <c r="H686" s="5"/>
      <c r="I686" s="5"/>
      <c r="J686" s="5"/>
    </row>
    <row r="687" ht="22.5" customHeight="1">
      <c r="A687" s="3" t="s">
        <v>702</v>
      </c>
      <c r="B687" s="4">
        <v>71.0</v>
      </c>
      <c r="C687" s="3" t="s">
        <v>21</v>
      </c>
      <c r="D687" s="4">
        <v>94.18</v>
      </c>
      <c r="E687" s="4">
        <v>1.69</v>
      </c>
      <c r="F687" s="3" t="s">
        <v>12</v>
      </c>
      <c r="G687" s="3" t="s">
        <v>15</v>
      </c>
      <c r="H687" s="5">
        <f t="shared" ref="H687:H707" si="21">(D687)/(E687^2)</f>
        <v>32.97503589</v>
      </c>
      <c r="I687" s="5">
        <f t="array" ref="I687">XLOOKUP(A687,protein_data!A:A,protein_data!B:B,"")</f>
        <v>129</v>
      </c>
      <c r="J687" s="5" t="str">
        <f t="shared" ref="J687:J707" si="22">if(G687="y","Responder","Non-Responder")</f>
        <v>Responder</v>
      </c>
    </row>
    <row r="688" ht="22.5" customHeight="1">
      <c r="A688" s="3" t="s">
        <v>703</v>
      </c>
      <c r="B688" s="4">
        <v>69.0</v>
      </c>
      <c r="C688" s="3" t="s">
        <v>11</v>
      </c>
      <c r="D688" s="4">
        <v>53.08</v>
      </c>
      <c r="E688" s="4">
        <v>1.52</v>
      </c>
      <c r="F688" s="3" t="s">
        <v>12</v>
      </c>
      <c r="G688" s="3" t="s">
        <v>15</v>
      </c>
      <c r="H688" s="5">
        <f t="shared" si="21"/>
        <v>22.97437673</v>
      </c>
      <c r="I688" s="5">
        <f t="array" ref="I688">XLOOKUP(A688,protein_data!A:A,protein_data!B:B,"")</f>
        <v>130</v>
      </c>
      <c r="J688" s="5" t="str">
        <f t="shared" si="22"/>
        <v>Responder</v>
      </c>
    </row>
    <row r="689" ht="22.5" customHeight="1">
      <c r="A689" s="3" t="s">
        <v>704</v>
      </c>
      <c r="B689" s="4">
        <v>65.0</v>
      </c>
      <c r="C689" s="3" t="s">
        <v>21</v>
      </c>
      <c r="D689" s="4">
        <v>87.88</v>
      </c>
      <c r="E689" s="4">
        <v>1.77</v>
      </c>
      <c r="F689" s="3" t="s">
        <v>12</v>
      </c>
      <c r="G689" s="3" t="s">
        <v>15</v>
      </c>
      <c r="H689" s="5">
        <f t="shared" si="21"/>
        <v>28.05068786</v>
      </c>
      <c r="I689" s="5">
        <f t="array" ref="I689">XLOOKUP(A689,protein_data!A:A,protein_data!B:B,"")</f>
        <v>107</v>
      </c>
      <c r="J689" s="5" t="str">
        <f t="shared" si="22"/>
        <v>Responder</v>
      </c>
    </row>
    <row r="690" ht="22.5" customHeight="1">
      <c r="A690" s="3" t="s">
        <v>705</v>
      </c>
      <c r="B690" s="4">
        <v>62.0</v>
      </c>
      <c r="C690" s="3" t="s">
        <v>11</v>
      </c>
      <c r="D690" s="4">
        <v>51.66</v>
      </c>
      <c r="E690" s="4">
        <v>1.46</v>
      </c>
      <c r="F690" s="3" t="s">
        <v>12</v>
      </c>
      <c r="G690" s="3" t="s">
        <v>13</v>
      </c>
      <c r="H690" s="5">
        <f t="shared" si="21"/>
        <v>24.23531619</v>
      </c>
      <c r="I690" s="5">
        <f t="array" ref="I690">XLOOKUP(A690,protein_data!A:A,protein_data!B:B,"")</f>
        <v>140</v>
      </c>
      <c r="J690" s="5" t="str">
        <f t="shared" si="22"/>
        <v>Non-Responder</v>
      </c>
    </row>
    <row r="691" ht="22.5" customHeight="1">
      <c r="A691" s="3" t="s">
        <v>706</v>
      </c>
      <c r="B691" s="4">
        <v>50.0</v>
      </c>
      <c r="C691" s="3" t="s">
        <v>21</v>
      </c>
      <c r="D691" s="4">
        <v>126.66</v>
      </c>
      <c r="E691" s="4">
        <v>1.66</v>
      </c>
      <c r="F691" s="3" t="s">
        <v>12</v>
      </c>
      <c r="G691" s="3" t="s">
        <v>15</v>
      </c>
      <c r="H691" s="5">
        <f t="shared" si="21"/>
        <v>45.96458122</v>
      </c>
      <c r="I691" s="5">
        <f t="array" ref="I691">XLOOKUP(A691,protein_data!A:A,protein_data!B:B,"")</f>
        <v>144</v>
      </c>
      <c r="J691" s="5" t="str">
        <f t="shared" si="22"/>
        <v>Responder</v>
      </c>
    </row>
    <row r="692" ht="22.5" customHeight="1">
      <c r="A692" s="3" t="s">
        <v>707</v>
      </c>
      <c r="B692" s="4">
        <v>63.0</v>
      </c>
      <c r="C692" s="3" t="s">
        <v>11</v>
      </c>
      <c r="D692" s="4">
        <v>59.83</v>
      </c>
      <c r="E692" s="4">
        <v>1.56</v>
      </c>
      <c r="F692" s="3" t="s">
        <v>12</v>
      </c>
      <c r="G692" s="3" t="s">
        <v>15</v>
      </c>
      <c r="H692" s="5">
        <f t="shared" si="21"/>
        <v>24.58497699</v>
      </c>
      <c r="I692" s="5">
        <f t="array" ref="I692">XLOOKUP(A692,protein_data!A:A,protein_data!B:B,"")</f>
        <v>107</v>
      </c>
      <c r="J692" s="5" t="str">
        <f t="shared" si="22"/>
        <v>Responder</v>
      </c>
    </row>
    <row r="693" ht="22.5" customHeight="1">
      <c r="A693" s="3" t="s">
        <v>708</v>
      </c>
      <c r="B693" s="4">
        <v>58.0</v>
      </c>
      <c r="C693" s="3" t="s">
        <v>11</v>
      </c>
      <c r="D693" s="4">
        <v>98.41</v>
      </c>
      <c r="E693" s="4">
        <v>1.53</v>
      </c>
      <c r="F693" s="3" t="s">
        <v>12</v>
      </c>
      <c r="G693" s="3" t="s">
        <v>13</v>
      </c>
      <c r="H693" s="5">
        <f t="shared" si="21"/>
        <v>42.03938656</v>
      </c>
      <c r="I693" s="5">
        <f t="array" ref="I693">XLOOKUP(A693,protein_data!A:A,protein_data!B:B,"")</f>
        <v>158</v>
      </c>
      <c r="J693" s="5" t="str">
        <f t="shared" si="22"/>
        <v>Non-Responder</v>
      </c>
    </row>
    <row r="694" ht="22.5" customHeight="1">
      <c r="A694" s="3" t="s">
        <v>709</v>
      </c>
      <c r="B694" s="4">
        <v>68.0</v>
      </c>
      <c r="C694" s="3" t="s">
        <v>11</v>
      </c>
      <c r="D694" s="4">
        <v>100.14</v>
      </c>
      <c r="E694" s="4">
        <v>1.6</v>
      </c>
      <c r="F694" s="3" t="s">
        <v>17</v>
      </c>
      <c r="G694" s="3" t="s">
        <v>13</v>
      </c>
      <c r="H694" s="5">
        <f t="shared" si="21"/>
        <v>39.1171875</v>
      </c>
      <c r="I694" s="5">
        <f t="array" ref="I694">XLOOKUP(A694,protein_data!A:A,protein_data!B:B,"")</f>
        <v>121</v>
      </c>
      <c r="J694" s="5" t="str">
        <f t="shared" si="22"/>
        <v>Non-Responder</v>
      </c>
    </row>
    <row r="695" ht="22.5" customHeight="1">
      <c r="A695" s="3" t="s">
        <v>710</v>
      </c>
      <c r="B695" s="4">
        <v>66.0</v>
      </c>
      <c r="C695" s="3" t="s">
        <v>21</v>
      </c>
      <c r="D695" s="4">
        <v>129.83</v>
      </c>
      <c r="E695" s="4">
        <v>1.84</v>
      </c>
      <c r="F695" s="3" t="s">
        <v>12</v>
      </c>
      <c r="G695" s="3" t="s">
        <v>15</v>
      </c>
      <c r="H695" s="5">
        <f t="shared" si="21"/>
        <v>38.34770794</v>
      </c>
      <c r="I695" s="5">
        <f t="array" ref="I695">XLOOKUP(A695,protein_data!A:A,protein_data!B:B,"")</f>
        <v>129</v>
      </c>
      <c r="J695" s="5" t="str">
        <f t="shared" si="22"/>
        <v>Responder</v>
      </c>
    </row>
    <row r="696" ht="22.5" customHeight="1">
      <c r="A696" s="3" t="s">
        <v>711</v>
      </c>
      <c r="B696" s="4">
        <v>63.0</v>
      </c>
      <c r="C696" s="3" t="s">
        <v>11</v>
      </c>
      <c r="D696" s="4">
        <v>66.41</v>
      </c>
      <c r="E696" s="4">
        <v>1.68</v>
      </c>
      <c r="F696" s="3" t="s">
        <v>17</v>
      </c>
      <c r="G696" s="3" t="s">
        <v>13</v>
      </c>
      <c r="H696" s="5">
        <f t="shared" si="21"/>
        <v>23.52962018</v>
      </c>
      <c r="I696" s="5">
        <f t="array" ref="I696">XLOOKUP(A696,protein_data!A:A,protein_data!B:B,"")</f>
        <v>90</v>
      </c>
      <c r="J696" s="5" t="str">
        <f t="shared" si="22"/>
        <v>Non-Responder</v>
      </c>
    </row>
    <row r="697" ht="22.5" customHeight="1">
      <c r="A697" s="3" t="s">
        <v>712</v>
      </c>
      <c r="B697" s="4">
        <v>69.0</v>
      </c>
      <c r="C697" s="3" t="s">
        <v>21</v>
      </c>
      <c r="D697" s="4">
        <v>91.2</v>
      </c>
      <c r="E697" s="4">
        <v>1.74</v>
      </c>
      <c r="F697" s="3" t="s">
        <v>12</v>
      </c>
      <c r="G697" s="3" t="s">
        <v>13</v>
      </c>
      <c r="H697" s="5">
        <f t="shared" si="21"/>
        <v>30.1228696</v>
      </c>
      <c r="I697" s="5">
        <f t="array" ref="I697">XLOOKUP(A697,protein_data!A:A,protein_data!B:B,"")</f>
        <v>142</v>
      </c>
      <c r="J697" s="5" t="str">
        <f t="shared" si="22"/>
        <v>Non-Responder</v>
      </c>
    </row>
    <row r="698" ht="22.5" customHeight="1">
      <c r="A698" s="3" t="s">
        <v>713</v>
      </c>
      <c r="B698" s="4">
        <v>58.0</v>
      </c>
      <c r="C698" s="3" t="s">
        <v>11</v>
      </c>
      <c r="D698" s="4">
        <v>75.37</v>
      </c>
      <c r="E698" s="4">
        <v>1.59</v>
      </c>
      <c r="F698" s="3" t="s">
        <v>12</v>
      </c>
      <c r="G698" s="3" t="s">
        <v>13</v>
      </c>
      <c r="H698" s="5">
        <f t="shared" si="21"/>
        <v>29.81290297</v>
      </c>
      <c r="I698" s="5">
        <f t="array" ref="I698">XLOOKUP(A698,protein_data!A:A,protein_data!B:B,"")</f>
        <v>169</v>
      </c>
      <c r="J698" s="5" t="str">
        <f t="shared" si="22"/>
        <v>Non-Responder</v>
      </c>
    </row>
    <row r="699" ht="22.5" customHeight="1">
      <c r="A699" s="3" t="s">
        <v>714</v>
      </c>
      <c r="B699" s="4">
        <v>58.0</v>
      </c>
      <c r="C699" s="3" t="s">
        <v>21</v>
      </c>
      <c r="D699" s="4">
        <v>77.59</v>
      </c>
      <c r="E699" s="4">
        <v>1.77</v>
      </c>
      <c r="F699" s="3" t="s">
        <v>12</v>
      </c>
      <c r="G699" s="3" t="s">
        <v>15</v>
      </c>
      <c r="H699" s="5">
        <f t="shared" si="21"/>
        <v>24.76619107</v>
      </c>
      <c r="I699" s="5">
        <f t="array" ref="I699">XLOOKUP(A699,protein_data!A:A,protein_data!B:B,"")</f>
        <v>99</v>
      </c>
      <c r="J699" s="5" t="str">
        <f t="shared" si="22"/>
        <v>Responder</v>
      </c>
    </row>
    <row r="700" ht="22.5" customHeight="1">
      <c r="A700" s="3" t="s">
        <v>715</v>
      </c>
      <c r="B700" s="4">
        <v>60.0</v>
      </c>
      <c r="C700" s="3" t="s">
        <v>21</v>
      </c>
      <c r="D700" s="4">
        <v>112.72</v>
      </c>
      <c r="E700" s="4">
        <v>1.82</v>
      </c>
      <c r="F700" s="3" t="s">
        <v>17</v>
      </c>
      <c r="G700" s="3" t="s">
        <v>13</v>
      </c>
      <c r="H700" s="5">
        <f t="shared" si="21"/>
        <v>34.02970656</v>
      </c>
      <c r="I700" s="5">
        <f t="array" ref="I700">XLOOKUP(A700,protein_data!A:A,protein_data!B:B,"")</f>
        <v>127</v>
      </c>
      <c r="J700" s="5" t="str">
        <f t="shared" si="22"/>
        <v>Non-Responder</v>
      </c>
    </row>
    <row r="701" ht="22.5" customHeight="1">
      <c r="A701" s="3" t="s">
        <v>716</v>
      </c>
      <c r="B701" s="4">
        <v>57.0</v>
      </c>
      <c r="C701" s="3" t="s">
        <v>21</v>
      </c>
      <c r="D701" s="4">
        <v>146.76</v>
      </c>
      <c r="E701" s="4">
        <v>1.82</v>
      </c>
      <c r="F701" s="3" t="s">
        <v>12</v>
      </c>
      <c r="G701" s="3" t="s">
        <v>15</v>
      </c>
      <c r="H701" s="5">
        <f t="shared" si="21"/>
        <v>44.30624321</v>
      </c>
      <c r="I701" s="5">
        <f t="array" ref="I701">XLOOKUP(A701,protein_data!A:A,protein_data!B:B,"")</f>
        <v>118</v>
      </c>
      <c r="J701" s="5" t="str">
        <f t="shared" si="22"/>
        <v>Responder</v>
      </c>
    </row>
    <row r="702" ht="22.5" customHeight="1">
      <c r="A702" s="3" t="s">
        <v>717</v>
      </c>
      <c r="B702" s="4">
        <v>60.0</v>
      </c>
      <c r="C702" s="3" t="s">
        <v>11</v>
      </c>
      <c r="D702" s="4">
        <v>79.23</v>
      </c>
      <c r="E702" s="4">
        <v>1.49</v>
      </c>
      <c r="F702" s="3" t="s">
        <v>12</v>
      </c>
      <c r="G702" s="3" t="s">
        <v>13</v>
      </c>
      <c r="H702" s="5">
        <f t="shared" si="21"/>
        <v>35.68758164</v>
      </c>
      <c r="I702" s="5">
        <f t="array" ref="I702">XLOOKUP(A702,protein_data!A:A,protein_data!B:B,"")</f>
        <v>122</v>
      </c>
      <c r="J702" s="5" t="str">
        <f t="shared" si="22"/>
        <v>Non-Responder</v>
      </c>
    </row>
    <row r="703" ht="22.5" customHeight="1">
      <c r="A703" s="3" t="s">
        <v>718</v>
      </c>
      <c r="B703" s="4">
        <v>74.0</v>
      </c>
      <c r="C703" s="3" t="s">
        <v>11</v>
      </c>
      <c r="D703" s="4">
        <v>75.46</v>
      </c>
      <c r="E703" s="4">
        <v>1.65</v>
      </c>
      <c r="F703" s="3" t="s">
        <v>12</v>
      </c>
      <c r="G703" s="3" t="s">
        <v>13</v>
      </c>
      <c r="H703" s="5">
        <f t="shared" si="21"/>
        <v>27.71717172</v>
      </c>
      <c r="I703" s="5">
        <f t="array" ref="I703">XLOOKUP(A703,protein_data!A:A,protein_data!B:B,"")</f>
        <v>125</v>
      </c>
      <c r="J703" s="5" t="str">
        <f t="shared" si="22"/>
        <v>Non-Responder</v>
      </c>
    </row>
    <row r="704" ht="22.5" customHeight="1">
      <c r="A704" s="3" t="s">
        <v>719</v>
      </c>
      <c r="B704" s="4">
        <v>55.0</v>
      </c>
      <c r="C704" s="3" t="s">
        <v>21</v>
      </c>
      <c r="D704" s="4">
        <v>107.32</v>
      </c>
      <c r="E704" s="4">
        <v>1.76</v>
      </c>
      <c r="F704" s="3" t="s">
        <v>12</v>
      </c>
      <c r="G704" s="3" t="s">
        <v>13</v>
      </c>
      <c r="H704" s="5">
        <f t="shared" si="21"/>
        <v>34.64617769</v>
      </c>
      <c r="I704" s="5">
        <f t="array" ref="I704">XLOOKUP(A704,protein_data!A:A,protein_data!B:B,"")</f>
        <v>168</v>
      </c>
      <c r="J704" s="5" t="str">
        <f t="shared" si="22"/>
        <v>Non-Responder</v>
      </c>
    </row>
    <row r="705" ht="22.5" customHeight="1">
      <c r="A705" s="3" t="s">
        <v>720</v>
      </c>
      <c r="B705" s="4">
        <v>68.0</v>
      </c>
      <c r="C705" s="3" t="s">
        <v>11</v>
      </c>
      <c r="D705" s="4">
        <v>96.85</v>
      </c>
      <c r="E705" s="4">
        <v>1.59</v>
      </c>
      <c r="F705" s="3" t="s">
        <v>12</v>
      </c>
      <c r="G705" s="3" t="s">
        <v>15</v>
      </c>
      <c r="H705" s="5">
        <f t="shared" si="21"/>
        <v>38.30940232</v>
      </c>
      <c r="I705" s="5">
        <f t="array" ref="I705">XLOOKUP(A705,protein_data!A:A,protein_data!B:B,"")</f>
        <v>129</v>
      </c>
      <c r="J705" s="5" t="str">
        <f t="shared" si="22"/>
        <v>Responder</v>
      </c>
    </row>
    <row r="706" ht="22.5" customHeight="1">
      <c r="A706" s="3" t="s">
        <v>721</v>
      </c>
      <c r="B706" s="4">
        <v>49.0</v>
      </c>
      <c r="C706" s="3" t="s">
        <v>11</v>
      </c>
      <c r="D706" s="4">
        <v>78.46</v>
      </c>
      <c r="E706" s="4">
        <v>1.66</v>
      </c>
      <c r="F706" s="3" t="s">
        <v>17</v>
      </c>
      <c r="G706" s="3" t="s">
        <v>13</v>
      </c>
      <c r="H706" s="5">
        <f t="shared" si="21"/>
        <v>28.47292786</v>
      </c>
      <c r="I706" s="5">
        <f t="array" ref="I706">XLOOKUP(A706,protein_data!A:A,protein_data!B:B,"")</f>
        <v>110</v>
      </c>
      <c r="J706" s="5" t="str">
        <f t="shared" si="22"/>
        <v>Non-Responder</v>
      </c>
    </row>
    <row r="707" ht="22.5" customHeight="1">
      <c r="A707" s="3" t="s">
        <v>722</v>
      </c>
      <c r="B707" s="4">
        <v>65.0</v>
      </c>
      <c r="C707" s="3" t="s">
        <v>11</v>
      </c>
      <c r="D707" s="4">
        <v>99.54</v>
      </c>
      <c r="E707" s="4">
        <v>1.58</v>
      </c>
      <c r="F707" s="3" t="s">
        <v>12</v>
      </c>
      <c r="G707" s="3" t="s">
        <v>15</v>
      </c>
      <c r="H707" s="5">
        <f t="shared" si="21"/>
        <v>39.87341772</v>
      </c>
      <c r="I707" s="5">
        <f t="array" ref="I707">XLOOKUP(A707,protein_data!A:A,protein_data!B:B,"")</f>
        <v>80</v>
      </c>
      <c r="J707" s="5" t="str">
        <f t="shared" si="22"/>
        <v>Responder</v>
      </c>
    </row>
    <row r="708" ht="22.5" hidden="1" customHeight="1">
      <c r="A708" s="3" t="s">
        <v>723</v>
      </c>
      <c r="B708" s="4">
        <v>72.0</v>
      </c>
      <c r="C708" s="3" t="s">
        <v>21</v>
      </c>
      <c r="D708" s="3" t="s">
        <v>26</v>
      </c>
      <c r="E708" s="4">
        <v>1.75</v>
      </c>
      <c r="F708" s="3" t="s">
        <v>12</v>
      </c>
      <c r="G708" s="3" t="s">
        <v>15</v>
      </c>
      <c r="H708" s="5"/>
      <c r="I708" s="5"/>
      <c r="J708" s="5"/>
    </row>
    <row r="709" ht="22.5" customHeight="1">
      <c r="A709" s="3" t="s">
        <v>724</v>
      </c>
      <c r="B709" s="4">
        <v>64.0</v>
      </c>
      <c r="C709" s="3" t="s">
        <v>11</v>
      </c>
      <c r="D709" s="4">
        <v>84.89</v>
      </c>
      <c r="E709" s="4">
        <v>1.57</v>
      </c>
      <c r="F709" s="3" t="s">
        <v>12</v>
      </c>
      <c r="G709" s="3" t="s">
        <v>15</v>
      </c>
      <c r="H709" s="5">
        <f t="shared" ref="H709:H769" si="23">(D709)/(E709^2)</f>
        <v>34.43953102</v>
      </c>
      <c r="I709" s="5">
        <f t="array" ref="I709">XLOOKUP(A709,protein_data!A:A,protein_data!B:B,"")</f>
        <v>127</v>
      </c>
      <c r="J709" s="5" t="str">
        <f t="shared" ref="J709:J769" si="24">if(G709="y","Responder","Non-Responder")</f>
        <v>Responder</v>
      </c>
    </row>
    <row r="710" ht="22.5" customHeight="1">
      <c r="A710" s="3" t="s">
        <v>725</v>
      </c>
      <c r="B710" s="4">
        <v>71.0</v>
      </c>
      <c r="C710" s="3" t="s">
        <v>11</v>
      </c>
      <c r="D710" s="4">
        <v>91.89</v>
      </c>
      <c r="E710" s="4">
        <v>1.67</v>
      </c>
      <c r="F710" s="3" t="s">
        <v>17</v>
      </c>
      <c r="G710" s="3" t="s">
        <v>15</v>
      </c>
      <c r="H710" s="5">
        <f t="shared" si="23"/>
        <v>32.94847431</v>
      </c>
      <c r="I710" s="5">
        <f t="array" ref="I710">XLOOKUP(A710,protein_data!A:A,protein_data!B:B,"")</f>
        <v>164</v>
      </c>
      <c r="J710" s="5" t="str">
        <f t="shared" si="24"/>
        <v>Responder</v>
      </c>
    </row>
    <row r="711" ht="22.5" customHeight="1">
      <c r="A711" s="3" t="s">
        <v>726</v>
      </c>
      <c r="B711" s="4">
        <v>53.0</v>
      </c>
      <c r="C711" s="3" t="s">
        <v>11</v>
      </c>
      <c r="D711" s="4">
        <v>99.05</v>
      </c>
      <c r="E711" s="4">
        <v>1.61</v>
      </c>
      <c r="F711" s="3" t="s">
        <v>17</v>
      </c>
      <c r="G711" s="3" t="s">
        <v>15</v>
      </c>
      <c r="H711" s="5">
        <f t="shared" si="23"/>
        <v>38.21226033</v>
      </c>
      <c r="I711" s="5">
        <f t="array" ref="I711">XLOOKUP(A711,protein_data!A:A,protein_data!B:B,"")</f>
        <v>93</v>
      </c>
      <c r="J711" s="5" t="str">
        <f t="shared" si="24"/>
        <v>Responder</v>
      </c>
    </row>
    <row r="712" ht="22.5" customHeight="1">
      <c r="A712" s="3" t="s">
        <v>727</v>
      </c>
      <c r="B712" s="4">
        <v>61.0</v>
      </c>
      <c r="C712" s="3" t="s">
        <v>11</v>
      </c>
      <c r="D712" s="4">
        <v>79.69</v>
      </c>
      <c r="E712" s="4">
        <v>1.6</v>
      </c>
      <c r="F712" s="3" t="s">
        <v>17</v>
      </c>
      <c r="G712" s="3" t="s">
        <v>13</v>
      </c>
      <c r="H712" s="5">
        <f t="shared" si="23"/>
        <v>31.12890625</v>
      </c>
      <c r="I712" s="5">
        <f t="array" ref="I712">XLOOKUP(A712,protein_data!A:A,protein_data!B:B,"")</f>
        <v>158</v>
      </c>
      <c r="J712" s="5" t="str">
        <f t="shared" si="24"/>
        <v>Non-Responder</v>
      </c>
    </row>
    <row r="713" ht="22.5" customHeight="1">
      <c r="A713" s="3" t="s">
        <v>728</v>
      </c>
      <c r="B713" s="4">
        <v>62.0</v>
      </c>
      <c r="C713" s="3" t="s">
        <v>21</v>
      </c>
      <c r="D713" s="4">
        <v>91.66</v>
      </c>
      <c r="E713" s="4">
        <v>1.77</v>
      </c>
      <c r="F713" s="3" t="s">
        <v>12</v>
      </c>
      <c r="G713" s="3" t="s">
        <v>15</v>
      </c>
      <c r="H713" s="5">
        <f t="shared" si="23"/>
        <v>29.2572377</v>
      </c>
      <c r="I713" s="5">
        <f t="array" ref="I713">XLOOKUP(A713,protein_data!A:A,protein_data!B:B,"")</f>
        <v>126</v>
      </c>
      <c r="J713" s="5" t="str">
        <f t="shared" si="24"/>
        <v>Responder</v>
      </c>
    </row>
    <row r="714" ht="22.5" customHeight="1">
      <c r="A714" s="3" t="s">
        <v>729</v>
      </c>
      <c r="B714" s="4">
        <v>65.0</v>
      </c>
      <c r="C714" s="3" t="s">
        <v>11</v>
      </c>
      <c r="D714" s="4">
        <v>111.06</v>
      </c>
      <c r="E714" s="4">
        <v>1.64</v>
      </c>
      <c r="F714" s="3" t="s">
        <v>12</v>
      </c>
      <c r="G714" s="3" t="s">
        <v>13</v>
      </c>
      <c r="H714" s="5">
        <f t="shared" si="23"/>
        <v>41.29238548</v>
      </c>
      <c r="I714" s="5">
        <f t="array" ref="I714">XLOOKUP(A714,protein_data!A:A,protein_data!B:B,"")</f>
        <v>129</v>
      </c>
      <c r="J714" s="5" t="str">
        <f t="shared" si="24"/>
        <v>Non-Responder</v>
      </c>
    </row>
    <row r="715" ht="22.5" customHeight="1">
      <c r="A715" s="3" t="s">
        <v>730</v>
      </c>
      <c r="B715" s="4">
        <v>58.0</v>
      </c>
      <c r="C715" s="3" t="s">
        <v>21</v>
      </c>
      <c r="D715" s="4">
        <v>83.85</v>
      </c>
      <c r="E715" s="4">
        <v>1.79</v>
      </c>
      <c r="F715" s="3" t="s">
        <v>17</v>
      </c>
      <c r="G715" s="3" t="s">
        <v>13</v>
      </c>
      <c r="H715" s="5">
        <f t="shared" si="23"/>
        <v>26.16959521</v>
      </c>
      <c r="I715" s="5">
        <f t="array" ref="I715">XLOOKUP(A715,protein_data!A:A,protein_data!B:B,"")</f>
        <v>134</v>
      </c>
      <c r="J715" s="5" t="str">
        <f t="shared" si="24"/>
        <v>Non-Responder</v>
      </c>
    </row>
    <row r="716" ht="22.5" customHeight="1">
      <c r="A716" s="3" t="s">
        <v>731</v>
      </c>
      <c r="B716" s="4">
        <v>62.0</v>
      </c>
      <c r="C716" s="3" t="s">
        <v>11</v>
      </c>
      <c r="D716" s="4">
        <v>71.1</v>
      </c>
      <c r="E716" s="4">
        <v>1.55</v>
      </c>
      <c r="F716" s="3" t="s">
        <v>17</v>
      </c>
      <c r="G716" s="3" t="s">
        <v>15</v>
      </c>
      <c r="H716" s="5">
        <f t="shared" si="23"/>
        <v>29.59417274</v>
      </c>
      <c r="I716" s="5">
        <f t="array" ref="I716">XLOOKUP(A716,protein_data!A:A,protein_data!B:B,"")</f>
        <v>102</v>
      </c>
      <c r="J716" s="5" t="str">
        <f t="shared" si="24"/>
        <v>Responder</v>
      </c>
    </row>
    <row r="717" ht="22.5" customHeight="1">
      <c r="A717" s="3" t="s">
        <v>732</v>
      </c>
      <c r="B717" s="4">
        <v>67.0</v>
      </c>
      <c r="C717" s="3" t="s">
        <v>11</v>
      </c>
      <c r="D717" s="4">
        <v>76.49</v>
      </c>
      <c r="E717" s="4">
        <v>1.5</v>
      </c>
      <c r="F717" s="3" t="s">
        <v>17</v>
      </c>
      <c r="G717" s="3" t="s">
        <v>13</v>
      </c>
      <c r="H717" s="5">
        <f t="shared" si="23"/>
        <v>33.99555556</v>
      </c>
      <c r="I717" s="5">
        <f t="array" ref="I717">XLOOKUP(A717,protein_data!A:A,protein_data!B:B,"")</f>
        <v>187</v>
      </c>
      <c r="J717" s="5" t="str">
        <f t="shared" si="24"/>
        <v>Non-Responder</v>
      </c>
    </row>
    <row r="718" ht="22.5" customHeight="1">
      <c r="A718" s="3" t="s">
        <v>733</v>
      </c>
      <c r="B718" s="4">
        <v>64.0</v>
      </c>
      <c r="C718" s="3" t="s">
        <v>21</v>
      </c>
      <c r="D718" s="4">
        <v>115.05</v>
      </c>
      <c r="E718" s="4">
        <v>1.85</v>
      </c>
      <c r="F718" s="3" t="s">
        <v>17</v>
      </c>
      <c r="G718" s="3" t="s">
        <v>13</v>
      </c>
      <c r="H718" s="5">
        <f t="shared" si="23"/>
        <v>33.61577794</v>
      </c>
      <c r="I718" s="5">
        <f t="array" ref="I718">XLOOKUP(A718,protein_data!A:A,protein_data!B:B,"")</f>
        <v>173</v>
      </c>
      <c r="J718" s="5" t="str">
        <f t="shared" si="24"/>
        <v>Non-Responder</v>
      </c>
    </row>
    <row r="719" ht="22.5" customHeight="1">
      <c r="A719" s="3" t="s">
        <v>734</v>
      </c>
      <c r="B719" s="4">
        <v>68.0</v>
      </c>
      <c r="C719" s="3" t="s">
        <v>21</v>
      </c>
      <c r="D719" s="4">
        <v>74.12</v>
      </c>
      <c r="E719" s="4">
        <v>1.8</v>
      </c>
      <c r="F719" s="3" t="s">
        <v>12</v>
      </c>
      <c r="G719" s="3" t="s">
        <v>15</v>
      </c>
      <c r="H719" s="5">
        <f t="shared" si="23"/>
        <v>22.87654321</v>
      </c>
      <c r="I719" s="5">
        <f t="array" ref="I719">XLOOKUP(A719,protein_data!A:A,protein_data!B:B,"")</f>
        <v>94</v>
      </c>
      <c r="J719" s="5" t="str">
        <f t="shared" si="24"/>
        <v>Responder</v>
      </c>
    </row>
    <row r="720" ht="22.5" customHeight="1">
      <c r="A720" s="3" t="s">
        <v>735</v>
      </c>
      <c r="B720" s="4">
        <v>64.0</v>
      </c>
      <c r="C720" s="3" t="s">
        <v>11</v>
      </c>
      <c r="D720" s="4">
        <v>101.6</v>
      </c>
      <c r="E720" s="4">
        <v>1.69</v>
      </c>
      <c r="F720" s="3" t="s">
        <v>17</v>
      </c>
      <c r="G720" s="3" t="s">
        <v>13</v>
      </c>
      <c r="H720" s="5">
        <f t="shared" si="23"/>
        <v>35.57298414</v>
      </c>
      <c r="I720" s="5">
        <f t="array" ref="I720">XLOOKUP(A720,protein_data!A:A,protein_data!B:B,"")</f>
        <v>108</v>
      </c>
      <c r="J720" s="5" t="str">
        <f t="shared" si="24"/>
        <v>Non-Responder</v>
      </c>
    </row>
    <row r="721" ht="22.5" customHeight="1">
      <c r="A721" s="3" t="s">
        <v>736</v>
      </c>
      <c r="B721" s="4">
        <v>60.0</v>
      </c>
      <c r="C721" s="3" t="s">
        <v>11</v>
      </c>
      <c r="D721" s="4">
        <v>93.23</v>
      </c>
      <c r="E721" s="4">
        <v>1.62</v>
      </c>
      <c r="F721" s="3" t="s">
        <v>17</v>
      </c>
      <c r="G721" s="3" t="s">
        <v>15</v>
      </c>
      <c r="H721" s="5">
        <f t="shared" si="23"/>
        <v>35.52431032</v>
      </c>
      <c r="I721" s="5">
        <f t="array" ref="I721">XLOOKUP(A721,protein_data!A:A,protein_data!B:B,"")</f>
        <v>97</v>
      </c>
      <c r="J721" s="5" t="str">
        <f t="shared" si="24"/>
        <v>Responder</v>
      </c>
    </row>
    <row r="722" ht="22.5" customHeight="1">
      <c r="A722" s="3" t="s">
        <v>737</v>
      </c>
      <c r="B722" s="4">
        <v>65.0</v>
      </c>
      <c r="C722" s="3" t="s">
        <v>21</v>
      </c>
      <c r="D722" s="4">
        <v>80.59</v>
      </c>
      <c r="E722" s="4">
        <v>1.67</v>
      </c>
      <c r="F722" s="3" t="s">
        <v>12</v>
      </c>
      <c r="G722" s="3" t="s">
        <v>13</v>
      </c>
      <c r="H722" s="5">
        <f t="shared" si="23"/>
        <v>28.89669762</v>
      </c>
      <c r="I722" s="5">
        <f t="array" ref="I722">XLOOKUP(A722,protein_data!A:A,protein_data!B:B,"")</f>
        <v>83</v>
      </c>
      <c r="J722" s="5" t="str">
        <f t="shared" si="24"/>
        <v>Non-Responder</v>
      </c>
    </row>
    <row r="723" ht="22.5" customHeight="1">
      <c r="A723" s="3" t="s">
        <v>738</v>
      </c>
      <c r="B723" s="4">
        <v>64.0</v>
      </c>
      <c r="C723" s="3" t="s">
        <v>21</v>
      </c>
      <c r="D723" s="4">
        <v>111.91</v>
      </c>
      <c r="E723" s="4">
        <v>1.72</v>
      </c>
      <c r="F723" s="3" t="s">
        <v>17</v>
      </c>
      <c r="G723" s="3" t="s">
        <v>13</v>
      </c>
      <c r="H723" s="5">
        <f t="shared" si="23"/>
        <v>37.82787994</v>
      </c>
      <c r="I723" s="5">
        <f t="array" ref="I723">XLOOKUP(A723,protein_data!A:A,protein_data!B:B,"")</f>
        <v>114</v>
      </c>
      <c r="J723" s="5" t="str">
        <f t="shared" si="24"/>
        <v>Non-Responder</v>
      </c>
    </row>
    <row r="724" ht="22.5" customHeight="1">
      <c r="A724" s="3" t="s">
        <v>739</v>
      </c>
      <c r="B724" s="4">
        <v>65.0</v>
      </c>
      <c r="C724" s="3" t="s">
        <v>21</v>
      </c>
      <c r="D724" s="4">
        <v>86.12</v>
      </c>
      <c r="E724" s="4">
        <v>1.72</v>
      </c>
      <c r="F724" s="3" t="s">
        <v>17</v>
      </c>
      <c r="G724" s="3" t="s">
        <v>13</v>
      </c>
      <c r="H724" s="5">
        <f t="shared" si="23"/>
        <v>29.11032991</v>
      </c>
      <c r="I724" s="5">
        <f t="array" ref="I724">XLOOKUP(A724,protein_data!A:A,protein_data!B:B,"")</f>
        <v>149</v>
      </c>
      <c r="J724" s="5" t="str">
        <f t="shared" si="24"/>
        <v>Non-Responder</v>
      </c>
    </row>
    <row r="725" ht="22.5" customHeight="1">
      <c r="A725" s="3" t="s">
        <v>740</v>
      </c>
      <c r="B725" s="4">
        <v>65.0</v>
      </c>
      <c r="C725" s="3" t="s">
        <v>11</v>
      </c>
      <c r="D725" s="4">
        <v>99.32</v>
      </c>
      <c r="E725" s="4">
        <v>1.59</v>
      </c>
      <c r="F725" s="3" t="s">
        <v>12</v>
      </c>
      <c r="G725" s="3" t="s">
        <v>15</v>
      </c>
      <c r="H725" s="5">
        <f t="shared" si="23"/>
        <v>39.28642063</v>
      </c>
      <c r="I725" s="5">
        <f t="array" ref="I725">XLOOKUP(A725,protein_data!A:A,protein_data!B:B,"")</f>
        <v>117</v>
      </c>
      <c r="J725" s="5" t="str">
        <f t="shared" si="24"/>
        <v>Responder</v>
      </c>
    </row>
    <row r="726" ht="22.5" customHeight="1">
      <c r="A726" s="3" t="s">
        <v>741</v>
      </c>
      <c r="B726" s="4">
        <v>69.0</v>
      </c>
      <c r="C726" s="3" t="s">
        <v>11</v>
      </c>
      <c r="D726" s="4">
        <v>89.57</v>
      </c>
      <c r="E726" s="4">
        <v>1.65</v>
      </c>
      <c r="F726" s="3" t="s">
        <v>17</v>
      </c>
      <c r="G726" s="3" t="s">
        <v>15</v>
      </c>
      <c r="H726" s="5">
        <f t="shared" si="23"/>
        <v>32.89990817</v>
      </c>
      <c r="I726" s="5">
        <f t="array" ref="I726">XLOOKUP(A726,protein_data!A:A,protein_data!B:B,"")</f>
        <v>111</v>
      </c>
      <c r="J726" s="5" t="str">
        <f t="shared" si="24"/>
        <v>Responder</v>
      </c>
    </row>
    <row r="727" ht="22.5" customHeight="1">
      <c r="A727" s="3" t="s">
        <v>742</v>
      </c>
      <c r="B727" s="4">
        <v>69.0</v>
      </c>
      <c r="C727" s="3" t="s">
        <v>21</v>
      </c>
      <c r="D727" s="4">
        <v>126.22</v>
      </c>
      <c r="E727" s="4">
        <v>1.8</v>
      </c>
      <c r="F727" s="3" t="s">
        <v>17</v>
      </c>
      <c r="G727" s="3" t="s">
        <v>15</v>
      </c>
      <c r="H727" s="5">
        <f t="shared" si="23"/>
        <v>38.95679012</v>
      </c>
      <c r="I727" s="5">
        <f t="array" ref="I727">XLOOKUP(A727,protein_data!A:A,protein_data!B:B,"")</f>
        <v>112</v>
      </c>
      <c r="J727" s="5" t="str">
        <f t="shared" si="24"/>
        <v>Responder</v>
      </c>
    </row>
    <row r="728" ht="22.5" customHeight="1">
      <c r="A728" s="3" t="s">
        <v>743</v>
      </c>
      <c r="B728" s="4">
        <v>54.0</v>
      </c>
      <c r="C728" s="3" t="s">
        <v>21</v>
      </c>
      <c r="D728" s="4">
        <v>112.9</v>
      </c>
      <c r="E728" s="4">
        <v>1.78</v>
      </c>
      <c r="F728" s="3" t="s">
        <v>12</v>
      </c>
      <c r="G728" s="3" t="s">
        <v>15</v>
      </c>
      <c r="H728" s="5">
        <f t="shared" si="23"/>
        <v>35.63312713</v>
      </c>
      <c r="I728" s="5">
        <f t="array" ref="I728">XLOOKUP(A728,protein_data!A:A,protein_data!B:B,"")</f>
        <v>116</v>
      </c>
      <c r="J728" s="5" t="str">
        <f t="shared" si="24"/>
        <v>Responder</v>
      </c>
    </row>
    <row r="729" ht="22.5" customHeight="1">
      <c r="A729" s="3" t="s">
        <v>744</v>
      </c>
      <c r="B729" s="4">
        <v>58.0</v>
      </c>
      <c r="C729" s="3" t="s">
        <v>11</v>
      </c>
      <c r="D729" s="4">
        <v>86.51</v>
      </c>
      <c r="E729" s="4">
        <v>1.63</v>
      </c>
      <c r="F729" s="3" t="s">
        <v>12</v>
      </c>
      <c r="G729" s="3" t="s">
        <v>13</v>
      </c>
      <c r="H729" s="5">
        <f t="shared" si="23"/>
        <v>32.56050284</v>
      </c>
      <c r="I729" s="5">
        <f t="array" ref="I729">XLOOKUP(A729,protein_data!A:A,protein_data!B:B,"")</f>
        <v>141</v>
      </c>
      <c r="J729" s="5" t="str">
        <f t="shared" si="24"/>
        <v>Non-Responder</v>
      </c>
    </row>
    <row r="730" ht="22.5" customHeight="1">
      <c r="A730" s="3" t="s">
        <v>745</v>
      </c>
      <c r="B730" s="4">
        <v>65.0</v>
      </c>
      <c r="C730" s="3" t="s">
        <v>11</v>
      </c>
      <c r="D730" s="4">
        <v>56.7</v>
      </c>
      <c r="E730" s="4">
        <v>1.57</v>
      </c>
      <c r="F730" s="3" t="s">
        <v>12</v>
      </c>
      <c r="G730" s="3" t="s">
        <v>13</v>
      </c>
      <c r="H730" s="5">
        <f t="shared" si="23"/>
        <v>23.00296158</v>
      </c>
      <c r="I730" s="5">
        <f t="array" ref="I730">XLOOKUP(A730,protein_data!A:A,protein_data!B:B,"")</f>
        <v>175</v>
      </c>
      <c r="J730" s="5" t="str">
        <f t="shared" si="24"/>
        <v>Non-Responder</v>
      </c>
    </row>
    <row r="731" ht="22.5" customHeight="1">
      <c r="A731" s="3" t="s">
        <v>746</v>
      </c>
      <c r="B731" s="4">
        <v>61.0</v>
      </c>
      <c r="C731" s="3" t="s">
        <v>11</v>
      </c>
      <c r="D731" s="4">
        <v>73.23</v>
      </c>
      <c r="E731" s="4">
        <v>1.56</v>
      </c>
      <c r="F731" s="3" t="s">
        <v>12</v>
      </c>
      <c r="G731" s="3" t="s">
        <v>15</v>
      </c>
      <c r="H731" s="5">
        <f t="shared" si="23"/>
        <v>30.09122288</v>
      </c>
      <c r="I731" s="5">
        <f t="array" ref="I731">XLOOKUP(A731,protein_data!A:A,protein_data!B:B,"")</f>
        <v>92</v>
      </c>
      <c r="J731" s="5" t="str">
        <f t="shared" si="24"/>
        <v>Responder</v>
      </c>
    </row>
    <row r="732" ht="22.5" customHeight="1">
      <c r="A732" s="3" t="s">
        <v>747</v>
      </c>
      <c r="B732" s="4">
        <v>57.0</v>
      </c>
      <c r="C732" s="3" t="s">
        <v>11</v>
      </c>
      <c r="D732" s="4">
        <v>65.48</v>
      </c>
      <c r="E732" s="4">
        <v>1.52</v>
      </c>
      <c r="F732" s="3" t="s">
        <v>17</v>
      </c>
      <c r="G732" s="3" t="s">
        <v>13</v>
      </c>
      <c r="H732" s="5">
        <f t="shared" si="23"/>
        <v>28.34141274</v>
      </c>
      <c r="I732" s="5">
        <f t="array" ref="I732">XLOOKUP(A732,protein_data!A:A,protein_data!B:B,"")</f>
        <v>130</v>
      </c>
      <c r="J732" s="5" t="str">
        <f t="shared" si="24"/>
        <v>Non-Responder</v>
      </c>
    </row>
    <row r="733" ht="22.5" customHeight="1">
      <c r="A733" s="3" t="s">
        <v>748</v>
      </c>
      <c r="B733" s="4">
        <v>67.0</v>
      </c>
      <c r="C733" s="3" t="s">
        <v>21</v>
      </c>
      <c r="D733" s="4">
        <v>100.67</v>
      </c>
      <c r="E733" s="4">
        <v>1.89</v>
      </c>
      <c r="F733" s="3" t="s">
        <v>17</v>
      </c>
      <c r="G733" s="3" t="s">
        <v>13</v>
      </c>
      <c r="H733" s="5">
        <f t="shared" si="23"/>
        <v>28.18230173</v>
      </c>
      <c r="I733" s="5">
        <f t="array" ref="I733">XLOOKUP(A733,protein_data!A:A,protein_data!B:B,"")</f>
        <v>120</v>
      </c>
      <c r="J733" s="5" t="str">
        <f t="shared" si="24"/>
        <v>Non-Responder</v>
      </c>
    </row>
    <row r="734" ht="22.5" customHeight="1">
      <c r="A734" s="3" t="s">
        <v>749</v>
      </c>
      <c r="B734" s="4">
        <v>67.0</v>
      </c>
      <c r="C734" s="3" t="s">
        <v>21</v>
      </c>
      <c r="D734" s="4">
        <v>127.75</v>
      </c>
      <c r="E734" s="4">
        <v>1.7</v>
      </c>
      <c r="F734" s="3" t="s">
        <v>12</v>
      </c>
      <c r="G734" s="3" t="s">
        <v>15</v>
      </c>
      <c r="H734" s="5">
        <f t="shared" si="23"/>
        <v>44.20415225</v>
      </c>
      <c r="I734" s="5">
        <f t="array" ref="I734">XLOOKUP(A734,protein_data!A:A,protein_data!B:B,"")</f>
        <v>174</v>
      </c>
      <c r="J734" s="5" t="str">
        <f t="shared" si="24"/>
        <v>Responder</v>
      </c>
    </row>
    <row r="735" ht="22.5" customHeight="1">
      <c r="A735" s="3" t="s">
        <v>750</v>
      </c>
      <c r="B735" s="4">
        <v>61.0</v>
      </c>
      <c r="C735" s="3" t="s">
        <v>11</v>
      </c>
      <c r="D735" s="4">
        <v>72.93</v>
      </c>
      <c r="E735" s="4">
        <v>1.59</v>
      </c>
      <c r="F735" s="3" t="s">
        <v>17</v>
      </c>
      <c r="G735" s="3" t="s">
        <v>15</v>
      </c>
      <c r="H735" s="5">
        <f t="shared" si="23"/>
        <v>28.84775128</v>
      </c>
      <c r="I735" s="5">
        <f t="array" ref="I735">XLOOKUP(A735,protein_data!A:A,protein_data!B:B,"")</f>
        <v>106</v>
      </c>
      <c r="J735" s="5" t="str">
        <f t="shared" si="24"/>
        <v>Responder</v>
      </c>
    </row>
    <row r="736" ht="22.5" customHeight="1">
      <c r="A736" s="3" t="s">
        <v>751</v>
      </c>
      <c r="B736" s="4">
        <v>65.0</v>
      </c>
      <c r="C736" s="3" t="s">
        <v>11</v>
      </c>
      <c r="D736" s="4">
        <v>63.91</v>
      </c>
      <c r="E736" s="4">
        <v>1.66</v>
      </c>
      <c r="F736" s="3" t="s">
        <v>12</v>
      </c>
      <c r="G736" s="3" t="s">
        <v>15</v>
      </c>
      <c r="H736" s="5">
        <f t="shared" si="23"/>
        <v>23.19277108</v>
      </c>
      <c r="I736" s="5">
        <f t="array" ref="I736">XLOOKUP(A736,protein_data!A:A,protein_data!B:B,"")</f>
        <v>105</v>
      </c>
      <c r="J736" s="5" t="str">
        <f t="shared" si="24"/>
        <v>Responder</v>
      </c>
    </row>
    <row r="737" ht="22.5" customHeight="1">
      <c r="A737" s="3" t="s">
        <v>752</v>
      </c>
      <c r="B737" s="4">
        <v>59.0</v>
      </c>
      <c r="C737" s="3" t="s">
        <v>11</v>
      </c>
      <c r="D737" s="4">
        <v>90.33</v>
      </c>
      <c r="E737" s="4">
        <v>1.6</v>
      </c>
      <c r="F737" s="3" t="s">
        <v>17</v>
      </c>
      <c r="G737" s="3" t="s">
        <v>15</v>
      </c>
      <c r="H737" s="5">
        <f t="shared" si="23"/>
        <v>35.28515625</v>
      </c>
      <c r="I737" s="5">
        <f t="array" ref="I737">XLOOKUP(A737,protein_data!A:A,protein_data!B:B,"")</f>
        <v>95</v>
      </c>
      <c r="J737" s="5" t="str">
        <f t="shared" si="24"/>
        <v>Responder</v>
      </c>
    </row>
    <row r="738" ht="22.5" customHeight="1">
      <c r="A738" s="3" t="s">
        <v>753</v>
      </c>
      <c r="B738" s="4">
        <v>57.0</v>
      </c>
      <c r="C738" s="3" t="s">
        <v>21</v>
      </c>
      <c r="D738" s="4">
        <v>72.24</v>
      </c>
      <c r="E738" s="4">
        <v>1.63</v>
      </c>
      <c r="F738" s="3" t="s">
        <v>17</v>
      </c>
      <c r="G738" s="3" t="s">
        <v>13</v>
      </c>
      <c r="H738" s="5">
        <f t="shared" si="23"/>
        <v>27.18958184</v>
      </c>
      <c r="I738" s="5">
        <f t="array" ref="I738">XLOOKUP(A738,protein_data!A:A,protein_data!B:B,"")</f>
        <v>126</v>
      </c>
      <c r="J738" s="5" t="str">
        <f t="shared" si="24"/>
        <v>Non-Responder</v>
      </c>
    </row>
    <row r="739" ht="22.5" customHeight="1">
      <c r="A739" s="3" t="s">
        <v>754</v>
      </c>
      <c r="B739" s="4">
        <v>71.0</v>
      </c>
      <c r="C739" s="3" t="s">
        <v>11</v>
      </c>
      <c r="D739" s="4">
        <v>81.04</v>
      </c>
      <c r="E739" s="4">
        <v>1.59</v>
      </c>
      <c r="F739" s="3" t="s">
        <v>17</v>
      </c>
      <c r="G739" s="3" t="s">
        <v>13</v>
      </c>
      <c r="H739" s="5">
        <f t="shared" si="23"/>
        <v>32.055694</v>
      </c>
      <c r="I739" s="5">
        <f t="array" ref="I739">XLOOKUP(A739,protein_data!A:A,protein_data!B:B,"")</f>
        <v>65</v>
      </c>
      <c r="J739" s="5" t="str">
        <f t="shared" si="24"/>
        <v>Non-Responder</v>
      </c>
    </row>
    <row r="740" ht="22.5" customHeight="1">
      <c r="A740" s="3" t="s">
        <v>755</v>
      </c>
      <c r="B740" s="4">
        <v>75.0</v>
      </c>
      <c r="C740" s="3" t="s">
        <v>21</v>
      </c>
      <c r="D740" s="4">
        <v>108.02</v>
      </c>
      <c r="E740" s="4">
        <v>1.73</v>
      </c>
      <c r="F740" s="3" t="s">
        <v>17</v>
      </c>
      <c r="G740" s="3" t="s">
        <v>15</v>
      </c>
      <c r="H740" s="5">
        <f t="shared" si="23"/>
        <v>36.0920846</v>
      </c>
      <c r="I740" s="5">
        <f t="array" ref="I740">XLOOKUP(A740,protein_data!A:A,protein_data!B:B,"")</f>
        <v>99</v>
      </c>
      <c r="J740" s="5" t="str">
        <f t="shared" si="24"/>
        <v>Responder</v>
      </c>
    </row>
    <row r="741" ht="22.5" customHeight="1">
      <c r="A741" s="3" t="s">
        <v>756</v>
      </c>
      <c r="B741" s="4">
        <v>68.0</v>
      </c>
      <c r="C741" s="3" t="s">
        <v>21</v>
      </c>
      <c r="D741" s="4">
        <v>112.55</v>
      </c>
      <c r="E741" s="4">
        <v>1.7</v>
      </c>
      <c r="F741" s="3" t="s">
        <v>17</v>
      </c>
      <c r="G741" s="3" t="s">
        <v>13</v>
      </c>
      <c r="H741" s="5">
        <f t="shared" si="23"/>
        <v>38.94463668</v>
      </c>
      <c r="I741" s="5">
        <f t="array" ref="I741">XLOOKUP(A741,protein_data!A:A,protein_data!B:B,"")</f>
        <v>102</v>
      </c>
      <c r="J741" s="5" t="str">
        <f t="shared" si="24"/>
        <v>Non-Responder</v>
      </c>
    </row>
    <row r="742" ht="22.5" customHeight="1">
      <c r="A742" s="3" t="s">
        <v>757</v>
      </c>
      <c r="B742" s="4">
        <v>61.0</v>
      </c>
      <c r="C742" s="3" t="s">
        <v>21</v>
      </c>
      <c r="D742" s="4">
        <v>140.64</v>
      </c>
      <c r="E742" s="4">
        <v>1.83</v>
      </c>
      <c r="F742" s="3" t="s">
        <v>12</v>
      </c>
      <c r="G742" s="3" t="s">
        <v>15</v>
      </c>
      <c r="H742" s="5">
        <f t="shared" si="23"/>
        <v>41.99587924</v>
      </c>
      <c r="I742" s="5">
        <f t="array" ref="I742">XLOOKUP(A742,protein_data!A:A,protein_data!B:B,"")</f>
        <v>120</v>
      </c>
      <c r="J742" s="5" t="str">
        <f t="shared" si="24"/>
        <v>Responder</v>
      </c>
    </row>
    <row r="743" ht="22.5" customHeight="1">
      <c r="A743" s="3" t="s">
        <v>758</v>
      </c>
      <c r="B743" s="4">
        <v>55.0</v>
      </c>
      <c r="C743" s="3" t="s">
        <v>11</v>
      </c>
      <c r="D743" s="4">
        <v>73.5</v>
      </c>
      <c r="E743" s="4">
        <v>1.54</v>
      </c>
      <c r="F743" s="3" t="s">
        <v>17</v>
      </c>
      <c r="G743" s="3" t="s">
        <v>13</v>
      </c>
      <c r="H743" s="5">
        <f t="shared" si="23"/>
        <v>30.99173554</v>
      </c>
      <c r="I743" s="5">
        <f t="array" ref="I743">XLOOKUP(A743,protein_data!A:A,protein_data!B:B,"")</f>
        <v>102</v>
      </c>
      <c r="J743" s="5" t="str">
        <f t="shared" si="24"/>
        <v>Non-Responder</v>
      </c>
    </row>
    <row r="744" ht="22.5" customHeight="1">
      <c r="A744" s="3" t="s">
        <v>759</v>
      </c>
      <c r="B744" s="4">
        <v>65.0</v>
      </c>
      <c r="C744" s="3" t="s">
        <v>21</v>
      </c>
      <c r="D744" s="4">
        <v>87.51</v>
      </c>
      <c r="E744" s="4">
        <v>1.76</v>
      </c>
      <c r="F744" s="3" t="s">
        <v>12</v>
      </c>
      <c r="G744" s="3" t="s">
        <v>13</v>
      </c>
      <c r="H744" s="5">
        <f t="shared" si="23"/>
        <v>28.25090393</v>
      </c>
      <c r="I744" s="5">
        <f t="array" ref="I744">XLOOKUP(A744,protein_data!A:A,protein_data!B:B,"")</f>
        <v>109</v>
      </c>
      <c r="J744" s="5" t="str">
        <f t="shared" si="24"/>
        <v>Non-Responder</v>
      </c>
    </row>
    <row r="745" ht="22.5" customHeight="1">
      <c r="A745" s="3" t="s">
        <v>760</v>
      </c>
      <c r="B745" s="4">
        <v>50.0</v>
      </c>
      <c r="C745" s="3" t="s">
        <v>21</v>
      </c>
      <c r="D745" s="4">
        <v>114.42</v>
      </c>
      <c r="E745" s="4">
        <v>1.88</v>
      </c>
      <c r="F745" s="3" t="s">
        <v>12</v>
      </c>
      <c r="G745" s="3" t="s">
        <v>13</v>
      </c>
      <c r="H745" s="5">
        <f t="shared" si="23"/>
        <v>32.37324581</v>
      </c>
      <c r="I745" s="5">
        <f t="array" ref="I745">XLOOKUP(A745,protein_data!A:A,protein_data!B:B,"")</f>
        <v>140</v>
      </c>
      <c r="J745" s="5" t="str">
        <f t="shared" si="24"/>
        <v>Non-Responder</v>
      </c>
    </row>
    <row r="746" ht="22.5" customHeight="1">
      <c r="A746" s="3" t="s">
        <v>761</v>
      </c>
      <c r="B746" s="4">
        <v>56.0</v>
      </c>
      <c r="C746" s="3" t="s">
        <v>11</v>
      </c>
      <c r="D746" s="4">
        <v>104.66</v>
      </c>
      <c r="E746" s="4">
        <v>1.61</v>
      </c>
      <c r="F746" s="3" t="s">
        <v>17</v>
      </c>
      <c r="G746" s="3" t="s">
        <v>13</v>
      </c>
      <c r="H746" s="5">
        <f t="shared" si="23"/>
        <v>40.37652868</v>
      </c>
      <c r="I746" s="5">
        <f t="array" ref="I746">XLOOKUP(A746,protein_data!A:A,protein_data!B:B,"")</f>
        <v>153</v>
      </c>
      <c r="J746" s="5" t="str">
        <f t="shared" si="24"/>
        <v>Non-Responder</v>
      </c>
    </row>
    <row r="747" ht="22.5" customHeight="1">
      <c r="A747" s="3" t="s">
        <v>762</v>
      </c>
      <c r="B747" s="4">
        <v>56.0</v>
      </c>
      <c r="C747" s="3" t="s">
        <v>11</v>
      </c>
      <c r="D747" s="4">
        <v>84.59</v>
      </c>
      <c r="E747" s="4">
        <v>1.68</v>
      </c>
      <c r="F747" s="3" t="s">
        <v>17</v>
      </c>
      <c r="G747" s="3" t="s">
        <v>15</v>
      </c>
      <c r="H747" s="5">
        <f t="shared" si="23"/>
        <v>29.97094671</v>
      </c>
      <c r="I747" s="5">
        <f t="array" ref="I747">XLOOKUP(A747,protein_data!A:A,protein_data!B:B,"")</f>
        <v>100</v>
      </c>
      <c r="J747" s="5" t="str">
        <f t="shared" si="24"/>
        <v>Responder</v>
      </c>
    </row>
    <row r="748" ht="22.5" customHeight="1">
      <c r="A748" s="3" t="s">
        <v>763</v>
      </c>
      <c r="B748" s="4">
        <v>64.0</v>
      </c>
      <c r="C748" s="3" t="s">
        <v>11</v>
      </c>
      <c r="D748" s="4">
        <v>124.32</v>
      </c>
      <c r="E748" s="4">
        <v>1.59</v>
      </c>
      <c r="F748" s="3" t="s">
        <v>12</v>
      </c>
      <c r="G748" s="3" t="s">
        <v>13</v>
      </c>
      <c r="H748" s="5">
        <f t="shared" si="23"/>
        <v>49.17526997</v>
      </c>
      <c r="I748" s="5">
        <f t="array" ref="I748">XLOOKUP(A748,protein_data!A:A,protein_data!B:B,"")</f>
        <v>147</v>
      </c>
      <c r="J748" s="5" t="str">
        <f t="shared" si="24"/>
        <v>Non-Responder</v>
      </c>
    </row>
    <row r="749" ht="22.5" customHeight="1">
      <c r="A749" s="3" t="s">
        <v>764</v>
      </c>
      <c r="B749" s="4">
        <v>57.0</v>
      </c>
      <c r="C749" s="3" t="s">
        <v>11</v>
      </c>
      <c r="D749" s="4">
        <v>123.69</v>
      </c>
      <c r="E749" s="4">
        <v>1.63</v>
      </c>
      <c r="F749" s="3" t="s">
        <v>17</v>
      </c>
      <c r="G749" s="3" t="s">
        <v>13</v>
      </c>
      <c r="H749" s="5">
        <f t="shared" si="23"/>
        <v>46.55425496</v>
      </c>
      <c r="I749" s="5">
        <f t="array" ref="I749">XLOOKUP(A749,protein_data!A:A,protein_data!B:B,"")</f>
        <v>81</v>
      </c>
      <c r="J749" s="5" t="str">
        <f t="shared" si="24"/>
        <v>Non-Responder</v>
      </c>
    </row>
    <row r="750" ht="22.5" customHeight="1">
      <c r="A750" s="3" t="s">
        <v>765</v>
      </c>
      <c r="B750" s="4">
        <v>61.0</v>
      </c>
      <c r="C750" s="3" t="s">
        <v>21</v>
      </c>
      <c r="D750" s="4">
        <v>124.81</v>
      </c>
      <c r="E750" s="4">
        <v>1.86</v>
      </c>
      <c r="F750" s="3" t="s">
        <v>12</v>
      </c>
      <c r="G750" s="3" t="s">
        <v>13</v>
      </c>
      <c r="H750" s="5">
        <f t="shared" si="23"/>
        <v>36.07642502</v>
      </c>
      <c r="I750" s="5">
        <f t="array" ref="I750">XLOOKUP(A750,protein_data!A:A,protein_data!B:B,"")</f>
        <v>187</v>
      </c>
      <c r="J750" s="5" t="str">
        <f t="shared" si="24"/>
        <v>Non-Responder</v>
      </c>
    </row>
    <row r="751" ht="22.5" customHeight="1">
      <c r="A751" s="3" t="s">
        <v>766</v>
      </c>
      <c r="B751" s="4">
        <v>59.0</v>
      </c>
      <c r="C751" s="3" t="s">
        <v>21</v>
      </c>
      <c r="D751" s="4">
        <v>72.73</v>
      </c>
      <c r="E751" s="4">
        <v>1.74</v>
      </c>
      <c r="F751" s="3" t="s">
        <v>17</v>
      </c>
      <c r="G751" s="3" t="s">
        <v>13</v>
      </c>
      <c r="H751" s="5">
        <f t="shared" si="23"/>
        <v>24.02232792</v>
      </c>
      <c r="I751" s="5">
        <f t="array" ref="I751">XLOOKUP(A751,protein_data!A:A,protein_data!B:B,"")</f>
        <v>162</v>
      </c>
      <c r="J751" s="5" t="str">
        <f t="shared" si="24"/>
        <v>Non-Responder</v>
      </c>
    </row>
    <row r="752" ht="22.5" customHeight="1">
      <c r="A752" s="3" t="s">
        <v>767</v>
      </c>
      <c r="B752" s="4">
        <v>47.0</v>
      </c>
      <c r="C752" s="3" t="s">
        <v>11</v>
      </c>
      <c r="D752" s="4">
        <v>79.07</v>
      </c>
      <c r="E752" s="4">
        <v>1.59</v>
      </c>
      <c r="F752" s="3" t="s">
        <v>17</v>
      </c>
      <c r="G752" s="3" t="s">
        <v>13</v>
      </c>
      <c r="H752" s="5">
        <f t="shared" si="23"/>
        <v>31.27645267</v>
      </c>
      <c r="I752" s="5">
        <f t="array" ref="I752">XLOOKUP(A752,protein_data!A:A,protein_data!B:B,"")</f>
        <v>136</v>
      </c>
      <c r="J752" s="5" t="str">
        <f t="shared" si="24"/>
        <v>Non-Responder</v>
      </c>
    </row>
    <row r="753" ht="22.5" customHeight="1">
      <c r="A753" s="3" t="s">
        <v>768</v>
      </c>
      <c r="B753" s="4">
        <v>69.0</v>
      </c>
      <c r="C753" s="3" t="s">
        <v>21</v>
      </c>
      <c r="D753" s="4">
        <v>127.64</v>
      </c>
      <c r="E753" s="4">
        <v>1.82</v>
      </c>
      <c r="F753" s="3" t="s">
        <v>12</v>
      </c>
      <c r="G753" s="3" t="s">
        <v>15</v>
      </c>
      <c r="H753" s="5">
        <f t="shared" si="23"/>
        <v>38.53399348</v>
      </c>
      <c r="I753" s="5">
        <f t="array" ref="I753">XLOOKUP(A753,protein_data!A:A,protein_data!B:B,"")</f>
        <v>121</v>
      </c>
      <c r="J753" s="5" t="str">
        <f t="shared" si="24"/>
        <v>Responder</v>
      </c>
    </row>
    <row r="754" ht="22.5" customHeight="1">
      <c r="A754" s="3" t="s">
        <v>769</v>
      </c>
      <c r="B754" s="4">
        <v>62.0</v>
      </c>
      <c r="C754" s="3" t="s">
        <v>11</v>
      </c>
      <c r="D754" s="4">
        <v>70.64</v>
      </c>
      <c r="E754" s="4">
        <v>1.65</v>
      </c>
      <c r="F754" s="3" t="s">
        <v>17</v>
      </c>
      <c r="G754" s="3" t="s">
        <v>13</v>
      </c>
      <c r="H754" s="5">
        <f t="shared" si="23"/>
        <v>25.94674013</v>
      </c>
      <c r="I754" s="5">
        <f t="array" ref="I754">XLOOKUP(A754,protein_data!A:A,protein_data!B:B,"")</f>
        <v>108</v>
      </c>
      <c r="J754" s="5" t="str">
        <f t="shared" si="24"/>
        <v>Non-Responder</v>
      </c>
    </row>
    <row r="755" ht="22.5" customHeight="1">
      <c r="A755" s="3" t="s">
        <v>770</v>
      </c>
      <c r="B755" s="4">
        <v>67.0</v>
      </c>
      <c r="C755" s="3" t="s">
        <v>11</v>
      </c>
      <c r="D755" s="4">
        <v>111.12</v>
      </c>
      <c r="E755" s="4">
        <v>1.6</v>
      </c>
      <c r="F755" s="3" t="s">
        <v>17</v>
      </c>
      <c r="G755" s="3" t="s">
        <v>13</v>
      </c>
      <c r="H755" s="5">
        <f t="shared" si="23"/>
        <v>43.40625</v>
      </c>
      <c r="I755" s="5">
        <f t="array" ref="I755">XLOOKUP(A755,protein_data!A:A,protein_data!B:B,"")</f>
        <v>181</v>
      </c>
      <c r="J755" s="5" t="str">
        <f t="shared" si="24"/>
        <v>Non-Responder</v>
      </c>
    </row>
    <row r="756" ht="22.5" customHeight="1">
      <c r="A756" s="3" t="s">
        <v>771</v>
      </c>
      <c r="B756" s="4">
        <v>61.0</v>
      </c>
      <c r="C756" s="3" t="s">
        <v>11</v>
      </c>
      <c r="D756" s="4">
        <v>76.97</v>
      </c>
      <c r="E756" s="4">
        <v>1.54</v>
      </c>
      <c r="F756" s="3" t="s">
        <v>17</v>
      </c>
      <c r="G756" s="3" t="s">
        <v>13</v>
      </c>
      <c r="H756" s="5">
        <f t="shared" si="23"/>
        <v>32.45488278</v>
      </c>
      <c r="I756" s="5">
        <f t="array" ref="I756">XLOOKUP(A756,protein_data!A:A,protein_data!B:B,"")</f>
        <v>154</v>
      </c>
      <c r="J756" s="5" t="str">
        <f t="shared" si="24"/>
        <v>Non-Responder</v>
      </c>
    </row>
    <row r="757" ht="22.5" customHeight="1">
      <c r="A757" s="3" t="s">
        <v>772</v>
      </c>
      <c r="B757" s="4">
        <v>65.0</v>
      </c>
      <c r="C757" s="3" t="s">
        <v>21</v>
      </c>
      <c r="D757" s="4">
        <v>117.14</v>
      </c>
      <c r="E757" s="4">
        <v>1.8</v>
      </c>
      <c r="F757" s="3" t="s">
        <v>12</v>
      </c>
      <c r="G757" s="3" t="s">
        <v>13</v>
      </c>
      <c r="H757" s="5">
        <f t="shared" si="23"/>
        <v>36.15432099</v>
      </c>
      <c r="I757" s="5">
        <f t="array" ref="I757">XLOOKUP(A757,protein_data!A:A,protein_data!B:B,"")</f>
        <v>128</v>
      </c>
      <c r="J757" s="5" t="str">
        <f t="shared" si="24"/>
        <v>Non-Responder</v>
      </c>
    </row>
    <row r="758" ht="22.5" customHeight="1">
      <c r="A758" s="3" t="s">
        <v>773</v>
      </c>
      <c r="B758" s="4">
        <v>57.0</v>
      </c>
      <c r="C758" s="3" t="s">
        <v>21</v>
      </c>
      <c r="D758" s="4">
        <v>102.04</v>
      </c>
      <c r="E758" s="4">
        <v>1.79</v>
      </c>
      <c r="F758" s="3" t="s">
        <v>12</v>
      </c>
      <c r="G758" s="3" t="s">
        <v>13</v>
      </c>
      <c r="H758" s="5">
        <f t="shared" si="23"/>
        <v>31.84669642</v>
      </c>
      <c r="I758" s="5">
        <f t="array" ref="I758">XLOOKUP(A758,protein_data!A:A,protein_data!B:B,"")</f>
        <v>137</v>
      </c>
      <c r="J758" s="5" t="str">
        <f t="shared" si="24"/>
        <v>Non-Responder</v>
      </c>
    </row>
    <row r="759" ht="22.5" customHeight="1">
      <c r="A759" s="3" t="s">
        <v>774</v>
      </c>
      <c r="B759" s="4">
        <v>68.0</v>
      </c>
      <c r="C759" s="3" t="s">
        <v>11</v>
      </c>
      <c r="D759" s="4">
        <v>84.53</v>
      </c>
      <c r="E759" s="4">
        <v>1.53</v>
      </c>
      <c r="F759" s="3" t="s">
        <v>17</v>
      </c>
      <c r="G759" s="3" t="s">
        <v>15</v>
      </c>
      <c r="H759" s="5">
        <f t="shared" si="23"/>
        <v>36.11004315</v>
      </c>
      <c r="I759" s="5">
        <f t="array" ref="I759">XLOOKUP(A759,protein_data!A:A,protein_data!B:B,"")</f>
        <v>123</v>
      </c>
      <c r="J759" s="5" t="str">
        <f t="shared" si="24"/>
        <v>Responder</v>
      </c>
    </row>
    <row r="760" ht="22.5" customHeight="1">
      <c r="A760" s="3" t="s">
        <v>775</v>
      </c>
      <c r="B760" s="4">
        <v>48.0</v>
      </c>
      <c r="C760" s="3" t="s">
        <v>11</v>
      </c>
      <c r="D760" s="4">
        <v>95.87</v>
      </c>
      <c r="E760" s="4">
        <v>1.6</v>
      </c>
      <c r="F760" s="3" t="s">
        <v>17</v>
      </c>
      <c r="G760" s="3" t="s">
        <v>13</v>
      </c>
      <c r="H760" s="5">
        <f t="shared" si="23"/>
        <v>37.44921875</v>
      </c>
      <c r="I760" s="5">
        <f t="array" ref="I760">XLOOKUP(A760,protein_data!A:A,protein_data!B:B,"")</f>
        <v>106</v>
      </c>
      <c r="J760" s="5" t="str">
        <f t="shared" si="24"/>
        <v>Non-Responder</v>
      </c>
    </row>
    <row r="761" ht="22.5" customHeight="1">
      <c r="A761" s="3" t="s">
        <v>776</v>
      </c>
      <c r="B761" s="4">
        <v>66.0</v>
      </c>
      <c r="C761" s="3" t="s">
        <v>21</v>
      </c>
      <c r="D761" s="4">
        <v>106.5</v>
      </c>
      <c r="E761" s="4">
        <v>1.74</v>
      </c>
      <c r="F761" s="3" t="s">
        <v>17</v>
      </c>
      <c r="G761" s="3" t="s">
        <v>13</v>
      </c>
      <c r="H761" s="5">
        <f t="shared" si="23"/>
        <v>35.17637733</v>
      </c>
      <c r="I761" s="5">
        <f t="array" ref="I761">XLOOKUP(A761,protein_data!A:A,protein_data!B:B,"")</f>
        <v>190</v>
      </c>
      <c r="J761" s="5" t="str">
        <f t="shared" si="24"/>
        <v>Non-Responder</v>
      </c>
    </row>
    <row r="762" ht="22.5" customHeight="1">
      <c r="A762" s="3" t="s">
        <v>777</v>
      </c>
      <c r="B762" s="4">
        <v>50.0</v>
      </c>
      <c r="C762" s="3" t="s">
        <v>21</v>
      </c>
      <c r="D762" s="4">
        <v>84.75</v>
      </c>
      <c r="E762" s="4">
        <v>1.73</v>
      </c>
      <c r="F762" s="3" t="s">
        <v>12</v>
      </c>
      <c r="G762" s="3" t="s">
        <v>13</v>
      </c>
      <c r="H762" s="5">
        <f t="shared" si="23"/>
        <v>28.31701694</v>
      </c>
      <c r="I762" s="5">
        <f t="array" ref="I762">XLOOKUP(A762,protein_data!A:A,protein_data!B:B,"")</f>
        <v>88</v>
      </c>
      <c r="J762" s="5" t="str">
        <f t="shared" si="24"/>
        <v>Non-Responder</v>
      </c>
    </row>
    <row r="763" ht="22.5" customHeight="1">
      <c r="A763" s="3" t="s">
        <v>778</v>
      </c>
      <c r="B763" s="4">
        <v>64.0</v>
      </c>
      <c r="C763" s="3" t="s">
        <v>21</v>
      </c>
      <c r="D763" s="4">
        <v>137.41</v>
      </c>
      <c r="E763" s="4">
        <v>1.77</v>
      </c>
      <c r="F763" s="3" t="s">
        <v>17</v>
      </c>
      <c r="G763" s="3" t="s">
        <v>15</v>
      </c>
      <c r="H763" s="5">
        <f t="shared" si="23"/>
        <v>43.86032111</v>
      </c>
      <c r="I763" s="5">
        <f t="array" ref="I763">XLOOKUP(A763,protein_data!A:A,protein_data!B:B,"")</f>
        <v>170</v>
      </c>
      <c r="J763" s="5" t="str">
        <f t="shared" si="24"/>
        <v>Responder</v>
      </c>
    </row>
    <row r="764" ht="22.5" customHeight="1">
      <c r="A764" s="3" t="s">
        <v>779</v>
      </c>
      <c r="B764" s="4">
        <v>70.0</v>
      </c>
      <c r="C764" s="3" t="s">
        <v>11</v>
      </c>
      <c r="D764" s="4">
        <v>62.21</v>
      </c>
      <c r="E764" s="4">
        <v>1.66</v>
      </c>
      <c r="F764" s="3" t="s">
        <v>12</v>
      </c>
      <c r="G764" s="3" t="s">
        <v>15</v>
      </c>
      <c r="H764" s="5">
        <f t="shared" si="23"/>
        <v>22.57584555</v>
      </c>
      <c r="I764" s="5">
        <f t="array" ref="I764">XLOOKUP(A764,protein_data!A:A,protein_data!B:B,"")</f>
        <v>89</v>
      </c>
      <c r="J764" s="5" t="str">
        <f t="shared" si="24"/>
        <v>Responder</v>
      </c>
    </row>
    <row r="765" ht="22.5" customHeight="1">
      <c r="A765" s="3" t="s">
        <v>780</v>
      </c>
      <c r="B765" s="4">
        <v>61.0</v>
      </c>
      <c r="C765" s="3" t="s">
        <v>11</v>
      </c>
      <c r="D765" s="4">
        <v>82.95</v>
      </c>
      <c r="E765" s="4">
        <v>1.59</v>
      </c>
      <c r="F765" s="3" t="s">
        <v>17</v>
      </c>
      <c r="G765" s="3" t="s">
        <v>15</v>
      </c>
      <c r="H765" s="5">
        <f t="shared" si="23"/>
        <v>32.81120209</v>
      </c>
      <c r="I765" s="5">
        <f t="array" ref="I765">XLOOKUP(A765,protein_data!A:A,protein_data!B:B,"")</f>
        <v>101</v>
      </c>
      <c r="J765" s="5" t="str">
        <f t="shared" si="24"/>
        <v>Responder</v>
      </c>
    </row>
    <row r="766" ht="22.5" customHeight="1">
      <c r="A766" s="3" t="s">
        <v>781</v>
      </c>
      <c r="B766" s="4">
        <v>65.0</v>
      </c>
      <c r="C766" s="3" t="s">
        <v>21</v>
      </c>
      <c r="D766" s="4">
        <v>112.86</v>
      </c>
      <c r="E766" s="4">
        <v>1.76</v>
      </c>
      <c r="F766" s="3" t="s">
        <v>12</v>
      </c>
      <c r="G766" s="3" t="s">
        <v>13</v>
      </c>
      <c r="H766" s="5">
        <f t="shared" si="23"/>
        <v>36.43465909</v>
      </c>
      <c r="I766" s="5">
        <f t="array" ref="I766">XLOOKUP(A766,protein_data!A:A,protein_data!B:B,"")</f>
        <v>122</v>
      </c>
      <c r="J766" s="5" t="str">
        <f t="shared" si="24"/>
        <v>Non-Responder</v>
      </c>
    </row>
    <row r="767" ht="22.5" customHeight="1">
      <c r="A767" s="3" t="s">
        <v>782</v>
      </c>
      <c r="B767" s="4">
        <v>60.0</v>
      </c>
      <c r="C767" s="3" t="s">
        <v>21</v>
      </c>
      <c r="D767" s="4">
        <v>81.03</v>
      </c>
      <c r="E767" s="4">
        <v>1.77</v>
      </c>
      <c r="F767" s="3" t="s">
        <v>12</v>
      </c>
      <c r="G767" s="3" t="s">
        <v>13</v>
      </c>
      <c r="H767" s="5">
        <f t="shared" si="23"/>
        <v>25.86421526</v>
      </c>
      <c r="I767" s="5">
        <f t="array" ref="I767">XLOOKUP(A767,protein_data!A:A,protein_data!B:B,"")</f>
        <v>121</v>
      </c>
      <c r="J767" s="5" t="str">
        <f t="shared" si="24"/>
        <v>Non-Responder</v>
      </c>
    </row>
    <row r="768" ht="22.5" customHeight="1">
      <c r="A768" s="3" t="s">
        <v>783</v>
      </c>
      <c r="B768" s="4">
        <v>53.0</v>
      </c>
      <c r="C768" s="3" t="s">
        <v>21</v>
      </c>
      <c r="D768" s="4">
        <v>88.67</v>
      </c>
      <c r="E768" s="4">
        <v>1.72</v>
      </c>
      <c r="F768" s="3" t="s">
        <v>12</v>
      </c>
      <c r="G768" s="3" t="s">
        <v>15</v>
      </c>
      <c r="H768" s="5">
        <f t="shared" si="23"/>
        <v>29.97228231</v>
      </c>
      <c r="I768" s="5">
        <f t="array" ref="I768">XLOOKUP(A768,protein_data!A:A,protein_data!B:B,"")</f>
        <v>126</v>
      </c>
      <c r="J768" s="5" t="str">
        <f t="shared" si="24"/>
        <v>Responder</v>
      </c>
    </row>
    <row r="769" ht="22.5" customHeight="1">
      <c r="A769" s="3" t="s">
        <v>784</v>
      </c>
      <c r="B769" s="4">
        <v>68.0</v>
      </c>
      <c r="C769" s="3" t="s">
        <v>11</v>
      </c>
      <c r="D769" s="4">
        <v>80.29</v>
      </c>
      <c r="E769" s="4">
        <v>1.63</v>
      </c>
      <c r="F769" s="3" t="s">
        <v>12</v>
      </c>
      <c r="G769" s="3" t="s">
        <v>15</v>
      </c>
      <c r="H769" s="5">
        <f t="shared" si="23"/>
        <v>30.21942866</v>
      </c>
      <c r="I769" s="5">
        <f t="array" ref="I769">XLOOKUP(A769,protein_data!A:A,protein_data!B:B,"")</f>
        <v>93</v>
      </c>
      <c r="J769" s="5" t="str">
        <f t="shared" si="24"/>
        <v>Responder</v>
      </c>
    </row>
    <row r="770" ht="22.5" hidden="1" customHeight="1">
      <c r="A770" s="3" t="s">
        <v>785</v>
      </c>
      <c r="B770" s="4">
        <v>7.2</v>
      </c>
      <c r="C770" s="3" t="s">
        <v>11</v>
      </c>
      <c r="D770" s="4">
        <v>22.31</v>
      </c>
      <c r="E770" s="4">
        <v>1.193</v>
      </c>
      <c r="F770" s="3" t="s">
        <v>12</v>
      </c>
      <c r="G770" s="3" t="s">
        <v>13</v>
      </c>
      <c r="H770" s="5"/>
      <c r="I770" s="5"/>
      <c r="J770" s="5"/>
    </row>
    <row r="771" ht="22.5" hidden="1" customHeight="1">
      <c r="A771" s="3" t="s">
        <v>786</v>
      </c>
      <c r="B771" s="4">
        <v>8.31</v>
      </c>
      <c r="C771" s="3" t="s">
        <v>11</v>
      </c>
      <c r="D771" s="4">
        <v>24.22</v>
      </c>
      <c r="E771" s="4">
        <v>1.2744</v>
      </c>
      <c r="F771" s="3" t="s">
        <v>17</v>
      </c>
      <c r="G771" s="3" t="s">
        <v>13</v>
      </c>
      <c r="H771" s="5"/>
      <c r="I771" s="5"/>
      <c r="J771" s="5"/>
    </row>
    <row r="772" ht="22.5" hidden="1" customHeight="1">
      <c r="A772" s="3" t="s">
        <v>787</v>
      </c>
      <c r="B772" s="4">
        <v>7.854</v>
      </c>
      <c r="C772" s="3" t="s">
        <v>21</v>
      </c>
      <c r="D772" s="4">
        <v>23.176</v>
      </c>
      <c r="E772" s="4">
        <v>1.26343</v>
      </c>
      <c r="F772" s="3" t="s">
        <v>17</v>
      </c>
      <c r="G772" s="3" t="s">
        <v>13</v>
      </c>
      <c r="H772" s="5"/>
      <c r="I772" s="5"/>
      <c r="J772" s="5"/>
    </row>
    <row r="773" ht="22.5" hidden="1" customHeight="1">
      <c r="H773" s="6"/>
      <c r="I773" s="6"/>
      <c r="J773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7.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88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38"/>
  </cols>
  <sheetData>
    <row r="1"/>
    <row r="2" hidden="1"/>
    <row r="3"/>
    <row r="4"/>
    <row r="5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$1000">
    <filterColumn colId="0">
      <filters>
        <filter val="Non-Responder"/>
        <filter val="Responder"/>
        <filter val="Grand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>
      <c r="A2" s="11" t="s">
        <v>25</v>
      </c>
      <c r="B2" s="12">
        <v>73.0</v>
      </c>
      <c r="C2" s="12" t="s">
        <v>11</v>
      </c>
      <c r="D2" s="12" t="s">
        <v>26</v>
      </c>
      <c r="E2" s="12">
        <v>1.64</v>
      </c>
      <c r="F2" s="12" t="s">
        <v>12</v>
      </c>
      <c r="G2" s="12" t="s">
        <v>15</v>
      </c>
      <c r="H2" s="13"/>
      <c r="I2" s="13"/>
      <c r="J2" s="14"/>
    </row>
    <row r="3">
      <c r="A3" s="11" t="s">
        <v>66</v>
      </c>
      <c r="B3" s="12">
        <v>65.0</v>
      </c>
      <c r="C3" s="12" t="s">
        <v>21</v>
      </c>
      <c r="D3" s="12" t="s">
        <v>26</v>
      </c>
      <c r="E3" s="12">
        <v>1.71</v>
      </c>
      <c r="F3" s="12" t="s">
        <v>12</v>
      </c>
      <c r="G3" s="12" t="s">
        <v>13</v>
      </c>
      <c r="H3" s="13"/>
      <c r="I3" s="13"/>
      <c r="J3" s="14"/>
    </row>
    <row r="4">
      <c r="A4" s="11" t="s">
        <v>77</v>
      </c>
      <c r="B4" s="12">
        <v>61.0</v>
      </c>
      <c r="C4" s="12" t="s">
        <v>21</v>
      </c>
      <c r="D4" s="12" t="s">
        <v>26</v>
      </c>
      <c r="E4" s="12">
        <v>1.79</v>
      </c>
      <c r="F4" s="12" t="s">
        <v>17</v>
      </c>
      <c r="G4" s="12" t="s">
        <v>13</v>
      </c>
      <c r="H4" s="13"/>
      <c r="I4" s="13"/>
      <c r="J4" s="14"/>
    </row>
    <row r="5">
      <c r="A5" s="11" t="s">
        <v>98</v>
      </c>
      <c r="B5" s="12">
        <v>65.0</v>
      </c>
      <c r="C5" s="12" t="s">
        <v>21</v>
      </c>
      <c r="D5" s="12" t="s">
        <v>26</v>
      </c>
      <c r="E5" s="12">
        <v>1.78</v>
      </c>
      <c r="F5" s="12" t="s">
        <v>17</v>
      </c>
      <c r="G5" s="12" t="s">
        <v>13</v>
      </c>
      <c r="H5" s="13"/>
      <c r="I5" s="13"/>
      <c r="J5" s="14"/>
    </row>
    <row r="6">
      <c r="A6" s="11" t="s">
        <v>162</v>
      </c>
      <c r="B6" s="12">
        <v>56.0</v>
      </c>
      <c r="C6" s="12" t="s">
        <v>11</v>
      </c>
      <c r="D6" s="12" t="s">
        <v>26</v>
      </c>
      <c r="E6" s="12">
        <v>1.57</v>
      </c>
      <c r="F6" s="12" t="s">
        <v>17</v>
      </c>
      <c r="G6" s="12" t="s">
        <v>13</v>
      </c>
      <c r="H6" s="13"/>
      <c r="I6" s="13"/>
      <c r="J6" s="14"/>
    </row>
    <row r="7">
      <c r="A7" s="11" t="s">
        <v>388</v>
      </c>
      <c r="B7" s="12">
        <v>67.0</v>
      </c>
      <c r="C7" s="12" t="s">
        <v>11</v>
      </c>
      <c r="D7" s="12" t="s">
        <v>26</v>
      </c>
      <c r="E7" s="12">
        <v>1.62</v>
      </c>
      <c r="F7" s="12" t="s">
        <v>17</v>
      </c>
      <c r="G7" s="12" t="s">
        <v>13</v>
      </c>
      <c r="H7" s="13"/>
      <c r="I7" s="13"/>
      <c r="J7" s="14"/>
    </row>
    <row r="8">
      <c r="A8" s="11" t="s">
        <v>443</v>
      </c>
      <c r="B8" s="12">
        <v>66.0</v>
      </c>
      <c r="C8" s="12" t="s">
        <v>21</v>
      </c>
      <c r="D8" s="12" t="s">
        <v>26</v>
      </c>
      <c r="E8" s="12">
        <v>1.83</v>
      </c>
      <c r="F8" s="12" t="s">
        <v>17</v>
      </c>
      <c r="G8" s="12" t="s">
        <v>13</v>
      </c>
      <c r="H8" s="13"/>
      <c r="I8" s="13"/>
      <c r="J8" s="14"/>
    </row>
    <row r="9">
      <c r="A9" s="11" t="s">
        <v>511</v>
      </c>
      <c r="B9" s="12">
        <v>60.0</v>
      </c>
      <c r="C9" s="12" t="s">
        <v>11</v>
      </c>
      <c r="D9" s="12" t="s">
        <v>26</v>
      </c>
      <c r="E9" s="12">
        <v>1.65</v>
      </c>
      <c r="F9" s="12" t="s">
        <v>17</v>
      </c>
      <c r="G9" s="12" t="s">
        <v>13</v>
      </c>
      <c r="H9" s="13"/>
      <c r="I9" s="13"/>
      <c r="J9" s="14"/>
    </row>
    <row r="10">
      <c r="A10" s="11" t="s">
        <v>539</v>
      </c>
      <c r="B10" s="12">
        <v>62.0</v>
      </c>
      <c r="C10" s="12" t="s">
        <v>11</v>
      </c>
      <c r="D10" s="12" t="s">
        <v>26</v>
      </c>
      <c r="E10" s="12">
        <v>1.6</v>
      </c>
      <c r="F10" s="12" t="s">
        <v>12</v>
      </c>
      <c r="G10" s="12" t="s">
        <v>13</v>
      </c>
      <c r="H10" s="13"/>
      <c r="I10" s="13"/>
      <c r="J10" s="14"/>
    </row>
    <row r="11">
      <c r="A11" s="11" t="s">
        <v>701</v>
      </c>
      <c r="B11" s="12">
        <v>74.0</v>
      </c>
      <c r="C11" s="12" t="s">
        <v>21</v>
      </c>
      <c r="D11" s="12" t="s">
        <v>26</v>
      </c>
      <c r="E11" s="12">
        <v>1.81</v>
      </c>
      <c r="F11" s="12" t="s">
        <v>17</v>
      </c>
      <c r="G11" s="12" t="s">
        <v>13</v>
      </c>
      <c r="H11" s="13"/>
      <c r="I11" s="13"/>
      <c r="J11" s="14"/>
    </row>
    <row r="12">
      <c r="A12" s="11" t="s">
        <v>723</v>
      </c>
      <c r="B12" s="12">
        <v>72.0</v>
      </c>
      <c r="C12" s="12" t="s">
        <v>21</v>
      </c>
      <c r="D12" s="12" t="s">
        <v>26</v>
      </c>
      <c r="E12" s="12">
        <v>1.75</v>
      </c>
      <c r="F12" s="12" t="s">
        <v>12</v>
      </c>
      <c r="G12" s="12" t="s">
        <v>15</v>
      </c>
      <c r="H12" s="13"/>
      <c r="I12" s="13"/>
      <c r="J12" s="14"/>
    </row>
    <row r="13">
      <c r="A13" s="11" t="s">
        <v>785</v>
      </c>
      <c r="B13" s="12">
        <v>7.2</v>
      </c>
      <c r="C13" s="12" t="s">
        <v>11</v>
      </c>
      <c r="D13" s="12">
        <v>22.31</v>
      </c>
      <c r="E13" s="12">
        <v>1.193</v>
      </c>
      <c r="F13" s="12" t="s">
        <v>12</v>
      </c>
      <c r="G13" s="12" t="s">
        <v>13</v>
      </c>
      <c r="H13" s="13"/>
      <c r="I13" s="13"/>
      <c r="J13" s="14"/>
    </row>
    <row r="14">
      <c r="A14" s="11" t="s">
        <v>786</v>
      </c>
      <c r="B14" s="12">
        <v>8.31</v>
      </c>
      <c r="C14" s="12" t="s">
        <v>11</v>
      </c>
      <c r="D14" s="12">
        <v>24.22</v>
      </c>
      <c r="E14" s="12">
        <v>1.2744</v>
      </c>
      <c r="F14" s="12" t="s">
        <v>17</v>
      </c>
      <c r="G14" s="12" t="s">
        <v>13</v>
      </c>
      <c r="H14" s="13"/>
      <c r="I14" s="13"/>
      <c r="J14" s="14"/>
    </row>
    <row r="15">
      <c r="A15" s="11" t="s">
        <v>787</v>
      </c>
      <c r="B15" s="12">
        <v>7.854</v>
      </c>
      <c r="C15" s="12" t="s">
        <v>21</v>
      </c>
      <c r="D15" s="12">
        <v>23.176</v>
      </c>
      <c r="E15" s="12">
        <v>1.26343</v>
      </c>
      <c r="F15" s="12" t="s">
        <v>17</v>
      </c>
      <c r="G15" s="12" t="s">
        <v>13</v>
      </c>
      <c r="H15" s="13"/>
      <c r="I15" s="13"/>
      <c r="J15" s="14"/>
    </row>
    <row r="16">
      <c r="A16" s="15"/>
      <c r="B16" s="13"/>
      <c r="C16" s="13"/>
      <c r="D16" s="13"/>
      <c r="E16" s="13"/>
      <c r="F16" s="13"/>
      <c r="G16" s="13"/>
      <c r="H16" s="13"/>
      <c r="I16" s="13"/>
      <c r="J16" s="14"/>
    </row>
    <row r="17">
      <c r="A17" s="15"/>
      <c r="B17" s="13"/>
      <c r="C17" s="13"/>
      <c r="D17" s="13"/>
      <c r="E17" s="13"/>
      <c r="F17" s="13"/>
      <c r="G17" s="13"/>
      <c r="H17" s="13"/>
      <c r="I17" s="13"/>
      <c r="J17" s="14"/>
    </row>
    <row r="18">
      <c r="A18" s="15"/>
      <c r="B18" s="13"/>
      <c r="C18" s="13"/>
      <c r="D18" s="13"/>
      <c r="E18" s="13"/>
      <c r="F18" s="13"/>
      <c r="G18" s="13"/>
      <c r="H18" s="13"/>
      <c r="I18" s="13"/>
      <c r="J18" s="14"/>
    </row>
    <row r="19">
      <c r="A19" s="15"/>
      <c r="B19" s="13"/>
      <c r="C19" s="13"/>
      <c r="D19" s="13"/>
      <c r="E19" s="13"/>
      <c r="F19" s="13"/>
      <c r="G19" s="13"/>
      <c r="H19" s="13"/>
      <c r="I19" s="13"/>
      <c r="J19" s="14"/>
    </row>
    <row r="20">
      <c r="A20" s="15"/>
      <c r="B20" s="13"/>
      <c r="C20" s="13"/>
      <c r="D20" s="13"/>
      <c r="E20" s="13"/>
      <c r="F20" s="13"/>
      <c r="G20" s="13"/>
      <c r="H20" s="13"/>
      <c r="I20" s="13"/>
      <c r="J20" s="14"/>
    </row>
    <row r="21">
      <c r="A21" s="15"/>
      <c r="B21" s="13"/>
      <c r="C21" s="13"/>
      <c r="D21" s="13"/>
      <c r="E21" s="13"/>
      <c r="F21" s="13"/>
      <c r="G21" s="13"/>
      <c r="H21" s="13"/>
      <c r="I21" s="13"/>
      <c r="J21" s="14"/>
    </row>
    <row r="22">
      <c r="A22" s="15"/>
      <c r="B22" s="13"/>
      <c r="C22" s="13"/>
      <c r="D22" s="13"/>
      <c r="E22" s="13"/>
      <c r="F22" s="13"/>
      <c r="G22" s="13"/>
      <c r="H22" s="13"/>
      <c r="I22" s="13"/>
      <c r="J22" s="14"/>
    </row>
    <row r="23">
      <c r="A23" s="15"/>
      <c r="B23" s="13"/>
      <c r="C23" s="13"/>
      <c r="D23" s="13"/>
      <c r="E23" s="13"/>
      <c r="F23" s="13"/>
      <c r="G23" s="13"/>
      <c r="H23" s="13"/>
      <c r="I23" s="13"/>
      <c r="J23" s="14"/>
    </row>
    <row r="24">
      <c r="A24" s="15"/>
      <c r="B24" s="13"/>
      <c r="C24" s="13"/>
      <c r="D24" s="13"/>
      <c r="E24" s="13"/>
      <c r="F24" s="13"/>
      <c r="G24" s="13"/>
      <c r="H24" s="13"/>
      <c r="I24" s="13"/>
      <c r="J24" s="14"/>
    </row>
    <row r="25">
      <c r="A25" s="15"/>
      <c r="B25" s="13"/>
      <c r="C25" s="13"/>
      <c r="D25" s="13"/>
      <c r="E25" s="13"/>
      <c r="F25" s="13"/>
      <c r="G25" s="13"/>
      <c r="H25" s="13"/>
      <c r="I25" s="13"/>
      <c r="J25" s="14"/>
    </row>
    <row r="26">
      <c r="A26" s="15"/>
      <c r="B26" s="13"/>
      <c r="C26" s="13"/>
      <c r="D26" s="13"/>
      <c r="E26" s="13"/>
      <c r="F26" s="13"/>
      <c r="G26" s="13"/>
      <c r="H26" s="13"/>
      <c r="I26" s="13"/>
      <c r="J26" s="14"/>
    </row>
    <row r="27">
      <c r="A27" s="15"/>
      <c r="B27" s="13"/>
      <c r="C27" s="13"/>
      <c r="D27" s="13"/>
      <c r="E27" s="13"/>
      <c r="F27" s="13"/>
      <c r="G27" s="13"/>
      <c r="H27" s="13"/>
      <c r="I27" s="13"/>
      <c r="J27" s="14"/>
    </row>
    <row r="28">
      <c r="A28" s="15"/>
      <c r="B28" s="13"/>
      <c r="C28" s="13"/>
      <c r="D28" s="13"/>
      <c r="E28" s="13"/>
      <c r="F28" s="13"/>
      <c r="G28" s="13"/>
      <c r="H28" s="13"/>
      <c r="I28" s="13"/>
      <c r="J28" s="14"/>
    </row>
    <row r="29">
      <c r="A29" s="15"/>
      <c r="B29" s="13"/>
      <c r="C29" s="13"/>
      <c r="D29" s="13"/>
      <c r="E29" s="13"/>
      <c r="F29" s="13"/>
      <c r="G29" s="13"/>
      <c r="H29" s="13"/>
      <c r="I29" s="13"/>
      <c r="J29" s="14"/>
    </row>
    <row r="30">
      <c r="A30" s="15"/>
      <c r="B30" s="13"/>
      <c r="C30" s="13"/>
      <c r="D30" s="13"/>
      <c r="E30" s="13"/>
      <c r="F30" s="13"/>
      <c r="G30" s="13"/>
      <c r="H30" s="13"/>
      <c r="I30" s="13"/>
      <c r="J30" s="14"/>
    </row>
    <row r="31">
      <c r="A31" s="15"/>
      <c r="B31" s="13"/>
      <c r="C31" s="13"/>
      <c r="D31" s="13"/>
      <c r="E31" s="13"/>
      <c r="F31" s="13"/>
      <c r="G31" s="13"/>
      <c r="H31" s="13"/>
      <c r="I31" s="13"/>
      <c r="J31" s="14"/>
    </row>
    <row r="32">
      <c r="A32" s="15"/>
      <c r="B32" s="13"/>
      <c r="C32" s="13"/>
      <c r="D32" s="13"/>
      <c r="E32" s="13"/>
      <c r="F32" s="13"/>
      <c r="G32" s="13"/>
      <c r="H32" s="13"/>
      <c r="I32" s="13"/>
      <c r="J32" s="14"/>
    </row>
    <row r="33">
      <c r="A33" s="15"/>
      <c r="B33" s="13"/>
      <c r="C33" s="13"/>
      <c r="D33" s="13"/>
      <c r="E33" s="13"/>
      <c r="F33" s="13"/>
      <c r="G33" s="13"/>
      <c r="H33" s="13"/>
      <c r="I33" s="13"/>
      <c r="J33" s="14"/>
    </row>
    <row r="34">
      <c r="A34" s="15"/>
      <c r="B34" s="13"/>
      <c r="C34" s="13"/>
      <c r="D34" s="13"/>
      <c r="E34" s="13"/>
      <c r="F34" s="13"/>
      <c r="G34" s="13"/>
      <c r="H34" s="13"/>
      <c r="I34" s="13"/>
      <c r="J34" s="14"/>
    </row>
    <row r="35">
      <c r="A35" s="15"/>
      <c r="B35" s="13"/>
      <c r="C35" s="13"/>
      <c r="D35" s="13"/>
      <c r="E35" s="13"/>
      <c r="F35" s="13"/>
      <c r="G35" s="13"/>
      <c r="H35" s="13"/>
      <c r="I35" s="13"/>
      <c r="J35" s="14"/>
    </row>
    <row r="36">
      <c r="A36" s="15"/>
      <c r="B36" s="13"/>
      <c r="C36" s="13"/>
      <c r="D36" s="13"/>
      <c r="E36" s="13"/>
      <c r="F36" s="13"/>
      <c r="G36" s="13"/>
      <c r="H36" s="13"/>
      <c r="I36" s="13"/>
      <c r="J36" s="14"/>
    </row>
    <row r="37">
      <c r="A37" s="15"/>
      <c r="B37" s="13"/>
      <c r="C37" s="13"/>
      <c r="D37" s="13"/>
      <c r="E37" s="13"/>
      <c r="F37" s="13"/>
      <c r="G37" s="13"/>
      <c r="H37" s="13"/>
      <c r="I37" s="13"/>
      <c r="J37" s="14"/>
    </row>
    <row r="38">
      <c r="A38" s="15"/>
      <c r="B38" s="13"/>
      <c r="C38" s="13"/>
      <c r="D38" s="13"/>
      <c r="E38" s="13"/>
      <c r="F38" s="13"/>
      <c r="G38" s="13"/>
      <c r="H38" s="13"/>
      <c r="I38" s="13"/>
      <c r="J38" s="14"/>
    </row>
    <row r="39">
      <c r="A39" s="15"/>
      <c r="B39" s="13"/>
      <c r="C39" s="13"/>
      <c r="D39" s="13"/>
      <c r="E39" s="13"/>
      <c r="F39" s="13"/>
      <c r="G39" s="13"/>
      <c r="H39" s="13"/>
      <c r="I39" s="13"/>
      <c r="J39" s="14"/>
    </row>
    <row r="40">
      <c r="A40" s="15"/>
      <c r="B40" s="13"/>
      <c r="C40" s="13"/>
      <c r="D40" s="13"/>
      <c r="E40" s="13"/>
      <c r="F40" s="13"/>
      <c r="G40" s="13"/>
      <c r="H40" s="13"/>
      <c r="I40" s="13"/>
      <c r="J40" s="14"/>
    </row>
    <row r="41">
      <c r="A41" s="15"/>
      <c r="B41" s="13"/>
      <c r="C41" s="13"/>
      <c r="D41" s="13"/>
      <c r="E41" s="13"/>
      <c r="F41" s="13"/>
      <c r="G41" s="13"/>
      <c r="H41" s="13"/>
      <c r="I41" s="13"/>
      <c r="J41" s="14"/>
    </row>
    <row r="42">
      <c r="A42" s="15"/>
      <c r="B42" s="13"/>
      <c r="C42" s="13"/>
      <c r="D42" s="13"/>
      <c r="E42" s="13"/>
      <c r="F42" s="13"/>
      <c r="G42" s="13"/>
      <c r="H42" s="13"/>
      <c r="I42" s="13"/>
      <c r="J42" s="14"/>
    </row>
    <row r="43">
      <c r="A43" s="15"/>
      <c r="B43" s="13"/>
      <c r="C43" s="13"/>
      <c r="D43" s="13"/>
      <c r="E43" s="13"/>
      <c r="F43" s="13"/>
      <c r="G43" s="13"/>
      <c r="H43" s="13"/>
      <c r="I43" s="13"/>
      <c r="J43" s="14"/>
    </row>
    <row r="44">
      <c r="A44" s="15"/>
      <c r="B44" s="13"/>
      <c r="C44" s="13"/>
      <c r="D44" s="13"/>
      <c r="E44" s="13"/>
      <c r="F44" s="13"/>
      <c r="G44" s="13"/>
      <c r="H44" s="13"/>
      <c r="I44" s="13"/>
      <c r="J44" s="14"/>
    </row>
    <row r="45">
      <c r="A45" s="15"/>
      <c r="B45" s="13"/>
      <c r="C45" s="13"/>
      <c r="D45" s="13"/>
      <c r="E45" s="13"/>
      <c r="F45" s="13"/>
      <c r="G45" s="13"/>
      <c r="H45" s="13"/>
      <c r="I45" s="13"/>
      <c r="J45" s="14"/>
    </row>
    <row r="46">
      <c r="A46" s="15"/>
      <c r="B46" s="13"/>
      <c r="C46" s="13"/>
      <c r="D46" s="13"/>
      <c r="E46" s="13"/>
      <c r="F46" s="13"/>
      <c r="G46" s="13"/>
      <c r="H46" s="13"/>
      <c r="I46" s="13"/>
      <c r="J46" s="14"/>
    </row>
    <row r="47">
      <c r="A47" s="15"/>
      <c r="B47" s="13"/>
      <c r="C47" s="13"/>
      <c r="D47" s="13"/>
      <c r="E47" s="13"/>
      <c r="F47" s="13"/>
      <c r="G47" s="13"/>
      <c r="H47" s="13"/>
      <c r="I47" s="13"/>
      <c r="J47" s="14"/>
    </row>
    <row r="48">
      <c r="A48" s="15"/>
      <c r="B48" s="13"/>
      <c r="C48" s="13"/>
      <c r="D48" s="13"/>
      <c r="E48" s="13"/>
      <c r="F48" s="13"/>
      <c r="G48" s="13"/>
      <c r="H48" s="13"/>
      <c r="I48" s="13"/>
      <c r="J48" s="14"/>
    </row>
    <row r="49">
      <c r="A49" s="15"/>
      <c r="B49" s="13"/>
      <c r="C49" s="13"/>
      <c r="D49" s="13"/>
      <c r="E49" s="13"/>
      <c r="F49" s="13"/>
      <c r="G49" s="13"/>
      <c r="H49" s="13"/>
      <c r="I49" s="13"/>
      <c r="J49" s="14"/>
    </row>
    <row r="50">
      <c r="A50" s="15"/>
      <c r="B50" s="13"/>
      <c r="C50" s="13"/>
      <c r="D50" s="13"/>
      <c r="E50" s="13"/>
      <c r="F50" s="13"/>
      <c r="G50" s="13"/>
      <c r="H50" s="13"/>
      <c r="I50" s="13"/>
      <c r="J50" s="14"/>
    </row>
    <row r="51">
      <c r="A51" s="15"/>
      <c r="B51" s="13"/>
      <c r="C51" s="13"/>
      <c r="D51" s="13"/>
      <c r="E51" s="13"/>
      <c r="F51" s="13"/>
      <c r="G51" s="13"/>
      <c r="H51" s="13"/>
      <c r="I51" s="13"/>
      <c r="J51" s="14"/>
    </row>
    <row r="52">
      <c r="A52" s="15"/>
      <c r="B52" s="13"/>
      <c r="C52" s="13"/>
      <c r="D52" s="13"/>
      <c r="E52" s="13"/>
      <c r="F52" s="13"/>
      <c r="G52" s="13"/>
      <c r="H52" s="13"/>
      <c r="I52" s="13"/>
      <c r="J52" s="14"/>
    </row>
    <row r="53">
      <c r="A53" s="15"/>
      <c r="B53" s="13"/>
      <c r="C53" s="13"/>
      <c r="D53" s="13"/>
      <c r="E53" s="13"/>
      <c r="F53" s="13"/>
      <c r="G53" s="13"/>
      <c r="H53" s="13"/>
      <c r="I53" s="13"/>
      <c r="J53" s="14"/>
    </row>
    <row r="54">
      <c r="A54" s="15"/>
      <c r="B54" s="13"/>
      <c r="C54" s="13"/>
      <c r="D54" s="13"/>
      <c r="E54" s="13"/>
      <c r="F54" s="13"/>
      <c r="G54" s="13"/>
      <c r="H54" s="13"/>
      <c r="I54" s="13"/>
      <c r="J54" s="14"/>
    </row>
    <row r="55">
      <c r="A55" s="15"/>
      <c r="B55" s="13"/>
      <c r="C55" s="13"/>
      <c r="D55" s="13"/>
      <c r="E55" s="13"/>
      <c r="F55" s="13"/>
      <c r="G55" s="13"/>
      <c r="H55" s="13"/>
      <c r="I55" s="13"/>
      <c r="J55" s="14"/>
    </row>
    <row r="56">
      <c r="A56" s="15"/>
      <c r="B56" s="13"/>
      <c r="C56" s="13"/>
      <c r="D56" s="13"/>
      <c r="E56" s="13"/>
      <c r="F56" s="13"/>
      <c r="G56" s="13"/>
      <c r="H56" s="13"/>
      <c r="I56" s="13"/>
      <c r="J56" s="14"/>
    </row>
    <row r="57">
      <c r="A57" s="15"/>
      <c r="B57" s="13"/>
      <c r="C57" s="13"/>
      <c r="D57" s="13"/>
      <c r="E57" s="13"/>
      <c r="F57" s="13"/>
      <c r="G57" s="13"/>
      <c r="H57" s="13"/>
      <c r="I57" s="13"/>
      <c r="J57" s="14"/>
    </row>
    <row r="58">
      <c r="A58" s="15"/>
      <c r="B58" s="13"/>
      <c r="C58" s="13"/>
      <c r="D58" s="13"/>
      <c r="E58" s="13"/>
      <c r="F58" s="13"/>
      <c r="G58" s="13"/>
      <c r="H58" s="13"/>
      <c r="I58" s="13"/>
      <c r="J58" s="14"/>
    </row>
    <row r="59">
      <c r="A59" s="15"/>
      <c r="B59" s="13"/>
      <c r="C59" s="13"/>
      <c r="D59" s="13"/>
      <c r="E59" s="13"/>
      <c r="F59" s="13"/>
      <c r="G59" s="13"/>
      <c r="H59" s="13"/>
      <c r="I59" s="13"/>
      <c r="J59" s="14"/>
    </row>
    <row r="60">
      <c r="A60" s="15"/>
      <c r="B60" s="13"/>
      <c r="C60" s="13"/>
      <c r="D60" s="13"/>
      <c r="E60" s="13"/>
      <c r="F60" s="13"/>
      <c r="G60" s="13"/>
      <c r="H60" s="13"/>
      <c r="I60" s="13"/>
      <c r="J60" s="14"/>
    </row>
    <row r="61">
      <c r="A61" s="15"/>
      <c r="B61" s="13"/>
      <c r="C61" s="13"/>
      <c r="D61" s="13"/>
      <c r="E61" s="13"/>
      <c r="F61" s="13"/>
      <c r="G61" s="13"/>
      <c r="H61" s="13"/>
      <c r="I61" s="13"/>
      <c r="J61" s="14"/>
    </row>
    <row r="62">
      <c r="A62" s="15"/>
      <c r="B62" s="13"/>
      <c r="C62" s="13"/>
      <c r="D62" s="13"/>
      <c r="E62" s="13"/>
      <c r="F62" s="13"/>
      <c r="G62" s="13"/>
      <c r="H62" s="13"/>
      <c r="I62" s="13"/>
      <c r="J62" s="14"/>
    </row>
    <row r="63">
      <c r="A63" s="15"/>
      <c r="B63" s="13"/>
      <c r="C63" s="13"/>
      <c r="D63" s="13"/>
      <c r="E63" s="13"/>
      <c r="F63" s="13"/>
      <c r="G63" s="13"/>
      <c r="H63" s="13"/>
      <c r="I63" s="13"/>
      <c r="J63" s="14"/>
    </row>
    <row r="64">
      <c r="A64" s="15"/>
      <c r="B64" s="13"/>
      <c r="C64" s="13"/>
      <c r="D64" s="13"/>
      <c r="E64" s="13"/>
      <c r="F64" s="13"/>
      <c r="G64" s="13"/>
      <c r="H64" s="13"/>
      <c r="I64" s="13"/>
      <c r="J64" s="14"/>
    </row>
    <row r="65">
      <c r="A65" s="15"/>
      <c r="B65" s="13"/>
      <c r="C65" s="13"/>
      <c r="D65" s="13"/>
      <c r="E65" s="13"/>
      <c r="F65" s="13"/>
      <c r="G65" s="13"/>
      <c r="H65" s="13"/>
      <c r="I65" s="13"/>
      <c r="J65" s="14"/>
    </row>
    <row r="66">
      <c r="A66" s="15"/>
      <c r="B66" s="13"/>
      <c r="C66" s="13"/>
      <c r="D66" s="13"/>
      <c r="E66" s="13"/>
      <c r="F66" s="13"/>
      <c r="G66" s="13"/>
      <c r="H66" s="13"/>
      <c r="I66" s="13"/>
      <c r="J66" s="14"/>
    </row>
    <row r="67">
      <c r="A67" s="15"/>
      <c r="B67" s="13"/>
      <c r="C67" s="13"/>
      <c r="D67" s="13"/>
      <c r="E67" s="13"/>
      <c r="F67" s="13"/>
      <c r="G67" s="13"/>
      <c r="H67" s="13"/>
      <c r="I67" s="13"/>
      <c r="J67" s="14"/>
    </row>
    <row r="68">
      <c r="A68" s="15"/>
      <c r="B68" s="13"/>
      <c r="C68" s="13"/>
      <c r="D68" s="13"/>
      <c r="E68" s="13"/>
      <c r="F68" s="13"/>
      <c r="G68" s="13"/>
      <c r="H68" s="13"/>
      <c r="I68" s="13"/>
      <c r="J68" s="14"/>
    </row>
    <row r="69">
      <c r="A69" s="15"/>
      <c r="B69" s="13"/>
      <c r="C69" s="13"/>
      <c r="D69" s="13"/>
      <c r="E69" s="13"/>
      <c r="F69" s="13"/>
      <c r="G69" s="13"/>
      <c r="H69" s="13"/>
      <c r="I69" s="13"/>
      <c r="J69" s="14"/>
    </row>
    <row r="70">
      <c r="A70" s="15"/>
      <c r="B70" s="13"/>
      <c r="C70" s="13"/>
      <c r="D70" s="13"/>
      <c r="E70" s="13"/>
      <c r="F70" s="13"/>
      <c r="G70" s="13"/>
      <c r="H70" s="13"/>
      <c r="I70" s="13"/>
      <c r="J70" s="14"/>
    </row>
    <row r="71">
      <c r="A71" s="15"/>
      <c r="B71" s="13"/>
      <c r="C71" s="13"/>
      <c r="D71" s="13"/>
      <c r="E71" s="13"/>
      <c r="F71" s="13"/>
      <c r="G71" s="13"/>
      <c r="H71" s="13"/>
      <c r="I71" s="13"/>
      <c r="J71" s="14"/>
    </row>
    <row r="72">
      <c r="A72" s="15"/>
      <c r="B72" s="13"/>
      <c r="C72" s="13"/>
      <c r="D72" s="13"/>
      <c r="E72" s="13"/>
      <c r="F72" s="13"/>
      <c r="G72" s="13"/>
      <c r="H72" s="13"/>
      <c r="I72" s="13"/>
      <c r="J72" s="14"/>
    </row>
    <row r="73">
      <c r="A73" s="15"/>
      <c r="B73" s="13"/>
      <c r="C73" s="13"/>
      <c r="D73" s="13"/>
      <c r="E73" s="13"/>
      <c r="F73" s="13"/>
      <c r="G73" s="13"/>
      <c r="H73" s="13"/>
      <c r="I73" s="13"/>
      <c r="J73" s="14"/>
    </row>
    <row r="74">
      <c r="A74" s="15"/>
      <c r="B74" s="13"/>
      <c r="C74" s="13"/>
      <c r="D74" s="13"/>
      <c r="E74" s="13"/>
      <c r="F74" s="13"/>
      <c r="G74" s="13"/>
      <c r="H74" s="13"/>
      <c r="I74" s="13"/>
      <c r="J74" s="14"/>
    </row>
    <row r="75">
      <c r="A75" s="15"/>
      <c r="B75" s="13"/>
      <c r="C75" s="13"/>
      <c r="D75" s="13"/>
      <c r="E75" s="13"/>
      <c r="F75" s="13"/>
      <c r="G75" s="13"/>
      <c r="H75" s="13"/>
      <c r="I75" s="13"/>
      <c r="J75" s="14"/>
    </row>
    <row r="76">
      <c r="A76" s="15"/>
      <c r="B76" s="13"/>
      <c r="C76" s="13"/>
      <c r="D76" s="13"/>
      <c r="E76" s="13"/>
      <c r="F76" s="13"/>
      <c r="G76" s="13"/>
      <c r="H76" s="13"/>
      <c r="I76" s="13"/>
      <c r="J76" s="14"/>
    </row>
    <row r="77">
      <c r="A77" s="15"/>
      <c r="B77" s="13"/>
      <c r="C77" s="13"/>
      <c r="D77" s="13"/>
      <c r="E77" s="13"/>
      <c r="F77" s="13"/>
      <c r="G77" s="13"/>
      <c r="H77" s="13"/>
      <c r="I77" s="13"/>
      <c r="J77" s="14"/>
    </row>
    <row r="78">
      <c r="A78" s="15"/>
      <c r="B78" s="13"/>
      <c r="C78" s="13"/>
      <c r="D78" s="13"/>
      <c r="E78" s="13"/>
      <c r="F78" s="13"/>
      <c r="G78" s="13"/>
      <c r="H78" s="13"/>
      <c r="I78" s="13"/>
      <c r="J78" s="14"/>
    </row>
    <row r="79">
      <c r="A79" s="15"/>
      <c r="B79" s="13"/>
      <c r="C79" s="13"/>
      <c r="D79" s="13"/>
      <c r="E79" s="13"/>
      <c r="F79" s="13"/>
      <c r="G79" s="13"/>
      <c r="H79" s="13"/>
      <c r="I79" s="13"/>
      <c r="J79" s="14"/>
    </row>
    <row r="80">
      <c r="A80" s="15"/>
      <c r="B80" s="13"/>
      <c r="C80" s="13"/>
      <c r="D80" s="13"/>
      <c r="E80" s="13"/>
      <c r="F80" s="13"/>
      <c r="G80" s="13"/>
      <c r="H80" s="13"/>
      <c r="I80" s="13"/>
      <c r="J80" s="14"/>
    </row>
    <row r="81">
      <c r="A81" s="15"/>
      <c r="B81" s="13"/>
      <c r="C81" s="13"/>
      <c r="D81" s="13"/>
      <c r="E81" s="13"/>
      <c r="F81" s="13"/>
      <c r="G81" s="13"/>
      <c r="H81" s="13"/>
      <c r="I81" s="13"/>
      <c r="J81" s="14"/>
    </row>
    <row r="82">
      <c r="A82" s="15"/>
      <c r="B82" s="13"/>
      <c r="C82" s="13"/>
      <c r="D82" s="13"/>
      <c r="E82" s="13"/>
      <c r="F82" s="13"/>
      <c r="G82" s="13"/>
      <c r="H82" s="13"/>
      <c r="I82" s="13"/>
      <c r="J82" s="14"/>
    </row>
    <row r="83">
      <c r="A83" s="15"/>
      <c r="B83" s="13"/>
      <c r="C83" s="13"/>
      <c r="D83" s="13"/>
      <c r="E83" s="13"/>
      <c r="F83" s="13"/>
      <c r="G83" s="13"/>
      <c r="H83" s="13"/>
      <c r="I83" s="13"/>
      <c r="J83" s="14"/>
    </row>
    <row r="84">
      <c r="A84" s="15"/>
      <c r="B84" s="13"/>
      <c r="C84" s="13"/>
      <c r="D84" s="13"/>
      <c r="E84" s="13"/>
      <c r="F84" s="13"/>
      <c r="G84" s="13"/>
      <c r="H84" s="13"/>
      <c r="I84" s="13"/>
      <c r="J84" s="14"/>
    </row>
    <row r="85">
      <c r="A85" s="15"/>
      <c r="B85" s="13"/>
      <c r="C85" s="13"/>
      <c r="D85" s="13"/>
      <c r="E85" s="13"/>
      <c r="F85" s="13"/>
      <c r="G85" s="13"/>
      <c r="H85" s="13"/>
      <c r="I85" s="13"/>
      <c r="J85" s="14"/>
    </row>
    <row r="86">
      <c r="A86" s="15"/>
      <c r="B86" s="13"/>
      <c r="C86" s="13"/>
      <c r="D86" s="13"/>
      <c r="E86" s="13"/>
      <c r="F86" s="13"/>
      <c r="G86" s="13"/>
      <c r="H86" s="13"/>
      <c r="I86" s="13"/>
      <c r="J86" s="14"/>
    </row>
    <row r="87">
      <c r="A87" s="15"/>
      <c r="B87" s="13"/>
      <c r="C87" s="13"/>
      <c r="D87" s="13"/>
      <c r="E87" s="13"/>
      <c r="F87" s="13"/>
      <c r="G87" s="13"/>
      <c r="H87" s="13"/>
      <c r="I87" s="13"/>
      <c r="J87" s="14"/>
    </row>
    <row r="88">
      <c r="A88" s="15"/>
      <c r="B88" s="13"/>
      <c r="C88" s="13"/>
      <c r="D88" s="13"/>
      <c r="E88" s="13"/>
      <c r="F88" s="13"/>
      <c r="G88" s="13"/>
      <c r="H88" s="13"/>
      <c r="I88" s="13"/>
      <c r="J88" s="14"/>
    </row>
    <row r="89">
      <c r="A89" s="15"/>
      <c r="B89" s="13"/>
      <c r="C89" s="13"/>
      <c r="D89" s="13"/>
      <c r="E89" s="13"/>
      <c r="F89" s="13"/>
      <c r="G89" s="13"/>
      <c r="H89" s="13"/>
      <c r="I89" s="13"/>
      <c r="J89" s="14"/>
    </row>
    <row r="90">
      <c r="A90" s="15"/>
      <c r="B90" s="13"/>
      <c r="C90" s="13"/>
      <c r="D90" s="13"/>
      <c r="E90" s="13"/>
      <c r="F90" s="13"/>
      <c r="G90" s="13"/>
      <c r="H90" s="13"/>
      <c r="I90" s="13"/>
      <c r="J90" s="14"/>
    </row>
    <row r="91">
      <c r="A91" s="15"/>
      <c r="B91" s="13"/>
      <c r="C91" s="13"/>
      <c r="D91" s="13"/>
      <c r="E91" s="13"/>
      <c r="F91" s="13"/>
      <c r="G91" s="13"/>
      <c r="H91" s="13"/>
      <c r="I91" s="13"/>
      <c r="J91" s="14"/>
    </row>
    <row r="92">
      <c r="A92" s="15"/>
      <c r="B92" s="13"/>
      <c r="C92" s="13"/>
      <c r="D92" s="13"/>
      <c r="E92" s="13"/>
      <c r="F92" s="13"/>
      <c r="G92" s="13"/>
      <c r="H92" s="13"/>
      <c r="I92" s="13"/>
      <c r="J92" s="14"/>
    </row>
    <row r="93">
      <c r="A93" s="15"/>
      <c r="B93" s="13"/>
      <c r="C93" s="13"/>
      <c r="D93" s="13"/>
      <c r="E93" s="13"/>
      <c r="F93" s="13"/>
      <c r="G93" s="13"/>
      <c r="H93" s="13"/>
      <c r="I93" s="13"/>
      <c r="J93" s="14"/>
    </row>
    <row r="94">
      <c r="A94" s="15"/>
      <c r="B94" s="13"/>
      <c r="C94" s="13"/>
      <c r="D94" s="13"/>
      <c r="E94" s="13"/>
      <c r="F94" s="13"/>
      <c r="G94" s="13"/>
      <c r="H94" s="13"/>
      <c r="I94" s="13"/>
      <c r="J94" s="14"/>
    </row>
    <row r="95">
      <c r="A95" s="15"/>
      <c r="B95" s="13"/>
      <c r="C95" s="13"/>
      <c r="D95" s="13"/>
      <c r="E95" s="13"/>
      <c r="F95" s="13"/>
      <c r="G95" s="13"/>
      <c r="H95" s="13"/>
      <c r="I95" s="13"/>
      <c r="J95" s="14"/>
    </row>
    <row r="96">
      <c r="A96" s="15"/>
      <c r="B96" s="13"/>
      <c r="C96" s="13"/>
      <c r="D96" s="13"/>
      <c r="E96" s="13"/>
      <c r="F96" s="13"/>
      <c r="G96" s="13"/>
      <c r="H96" s="13"/>
      <c r="I96" s="13"/>
      <c r="J96" s="14"/>
    </row>
    <row r="97">
      <c r="A97" s="15"/>
      <c r="B97" s="13"/>
      <c r="C97" s="13"/>
      <c r="D97" s="13"/>
      <c r="E97" s="13"/>
      <c r="F97" s="13"/>
      <c r="G97" s="13"/>
      <c r="H97" s="13"/>
      <c r="I97" s="13"/>
      <c r="J97" s="14"/>
    </row>
    <row r="98">
      <c r="A98" s="15"/>
      <c r="B98" s="13"/>
      <c r="C98" s="13"/>
      <c r="D98" s="13"/>
      <c r="E98" s="13"/>
      <c r="F98" s="13"/>
      <c r="G98" s="13"/>
      <c r="H98" s="13"/>
      <c r="I98" s="13"/>
      <c r="J98" s="14"/>
    </row>
    <row r="99">
      <c r="A99" s="15"/>
      <c r="B99" s="13"/>
      <c r="C99" s="13"/>
      <c r="D99" s="13"/>
      <c r="E99" s="13"/>
      <c r="F99" s="13"/>
      <c r="G99" s="13"/>
      <c r="H99" s="13"/>
      <c r="I99" s="13"/>
      <c r="J99" s="14"/>
    </row>
    <row r="100">
      <c r="A100" s="15"/>
      <c r="B100" s="13"/>
      <c r="C100" s="13"/>
      <c r="D100" s="13"/>
      <c r="E100" s="13"/>
      <c r="F100" s="13"/>
      <c r="G100" s="13"/>
      <c r="H100" s="13"/>
      <c r="I100" s="13"/>
      <c r="J100" s="14"/>
    </row>
    <row r="101">
      <c r="A101" s="15"/>
      <c r="B101" s="13"/>
      <c r="C101" s="13"/>
      <c r="D101" s="13"/>
      <c r="E101" s="13"/>
      <c r="F101" s="13"/>
      <c r="G101" s="13"/>
      <c r="H101" s="13"/>
      <c r="I101" s="13"/>
      <c r="J101" s="14"/>
    </row>
    <row r="102">
      <c r="A102" s="15"/>
      <c r="B102" s="13"/>
      <c r="C102" s="13"/>
      <c r="D102" s="13"/>
      <c r="E102" s="13"/>
      <c r="F102" s="13"/>
      <c r="G102" s="13"/>
      <c r="H102" s="13"/>
      <c r="I102" s="13"/>
      <c r="J102" s="14"/>
    </row>
    <row r="103">
      <c r="A103" s="15"/>
      <c r="B103" s="13"/>
      <c r="C103" s="13"/>
      <c r="D103" s="13"/>
      <c r="E103" s="13"/>
      <c r="F103" s="13"/>
      <c r="G103" s="13"/>
      <c r="H103" s="13"/>
      <c r="I103" s="13"/>
      <c r="J103" s="14"/>
    </row>
    <row r="104">
      <c r="A104" s="15"/>
      <c r="B104" s="13"/>
      <c r="C104" s="13"/>
      <c r="D104" s="13"/>
      <c r="E104" s="13"/>
      <c r="F104" s="13"/>
      <c r="G104" s="13"/>
      <c r="H104" s="13"/>
      <c r="I104" s="13"/>
      <c r="J104" s="14"/>
    </row>
    <row r="105">
      <c r="A105" s="15"/>
      <c r="B105" s="13"/>
      <c r="C105" s="13"/>
      <c r="D105" s="13"/>
      <c r="E105" s="13"/>
      <c r="F105" s="13"/>
      <c r="G105" s="13"/>
      <c r="H105" s="13"/>
      <c r="I105" s="13"/>
      <c r="J105" s="14"/>
    </row>
    <row r="106">
      <c r="A106" s="15"/>
      <c r="B106" s="13"/>
      <c r="C106" s="13"/>
      <c r="D106" s="13"/>
      <c r="E106" s="13"/>
      <c r="F106" s="13"/>
      <c r="G106" s="13"/>
      <c r="H106" s="13"/>
      <c r="I106" s="13"/>
      <c r="J106" s="14"/>
    </row>
    <row r="107">
      <c r="A107" s="15"/>
      <c r="B107" s="13"/>
      <c r="C107" s="13"/>
      <c r="D107" s="13"/>
      <c r="E107" s="13"/>
      <c r="F107" s="13"/>
      <c r="G107" s="13"/>
      <c r="H107" s="13"/>
      <c r="I107" s="13"/>
      <c r="J107" s="14"/>
    </row>
    <row r="108">
      <c r="A108" s="15"/>
      <c r="B108" s="13"/>
      <c r="C108" s="13"/>
      <c r="D108" s="13"/>
      <c r="E108" s="13"/>
      <c r="F108" s="13"/>
      <c r="G108" s="13"/>
      <c r="H108" s="13"/>
      <c r="I108" s="13"/>
      <c r="J108" s="14"/>
    </row>
    <row r="109">
      <c r="A109" s="15"/>
      <c r="B109" s="13"/>
      <c r="C109" s="13"/>
      <c r="D109" s="13"/>
      <c r="E109" s="13"/>
      <c r="F109" s="13"/>
      <c r="G109" s="13"/>
      <c r="H109" s="13"/>
      <c r="I109" s="13"/>
      <c r="J109" s="14"/>
    </row>
    <row r="110">
      <c r="A110" s="15"/>
      <c r="B110" s="13"/>
      <c r="C110" s="13"/>
      <c r="D110" s="13"/>
      <c r="E110" s="13"/>
      <c r="F110" s="13"/>
      <c r="G110" s="13"/>
      <c r="H110" s="13"/>
      <c r="I110" s="13"/>
      <c r="J110" s="14"/>
    </row>
    <row r="111">
      <c r="A111" s="15"/>
      <c r="B111" s="13"/>
      <c r="C111" s="13"/>
      <c r="D111" s="13"/>
      <c r="E111" s="13"/>
      <c r="F111" s="13"/>
      <c r="G111" s="13"/>
      <c r="H111" s="13"/>
      <c r="I111" s="13"/>
      <c r="J111" s="14"/>
    </row>
    <row r="112">
      <c r="A112" s="15"/>
      <c r="B112" s="13"/>
      <c r="C112" s="13"/>
      <c r="D112" s="13"/>
      <c r="E112" s="13"/>
      <c r="F112" s="13"/>
      <c r="G112" s="13"/>
      <c r="H112" s="13"/>
      <c r="I112" s="13"/>
      <c r="J112" s="14"/>
    </row>
    <row r="113">
      <c r="A113" s="15"/>
      <c r="B113" s="13"/>
      <c r="C113" s="13"/>
      <c r="D113" s="13"/>
      <c r="E113" s="13"/>
      <c r="F113" s="13"/>
      <c r="G113" s="13"/>
      <c r="H113" s="13"/>
      <c r="I113" s="13"/>
      <c r="J113" s="14"/>
    </row>
    <row r="114">
      <c r="A114" s="15"/>
      <c r="B114" s="13"/>
      <c r="C114" s="13"/>
      <c r="D114" s="13"/>
      <c r="E114" s="13"/>
      <c r="F114" s="13"/>
      <c r="G114" s="13"/>
      <c r="H114" s="13"/>
      <c r="I114" s="13"/>
      <c r="J114" s="14"/>
    </row>
    <row r="115">
      <c r="A115" s="15"/>
      <c r="B115" s="13"/>
      <c r="C115" s="13"/>
      <c r="D115" s="13"/>
      <c r="E115" s="13"/>
      <c r="F115" s="13"/>
      <c r="G115" s="13"/>
      <c r="H115" s="13"/>
      <c r="I115" s="13"/>
      <c r="J115" s="14"/>
    </row>
    <row r="116">
      <c r="A116" s="15"/>
      <c r="B116" s="13"/>
      <c r="C116" s="13"/>
      <c r="D116" s="13"/>
      <c r="E116" s="13"/>
      <c r="F116" s="13"/>
      <c r="G116" s="13"/>
      <c r="H116" s="13"/>
      <c r="I116" s="13"/>
      <c r="J116" s="14"/>
    </row>
    <row r="117">
      <c r="A117" s="15"/>
      <c r="B117" s="13"/>
      <c r="C117" s="13"/>
      <c r="D117" s="13"/>
      <c r="E117" s="13"/>
      <c r="F117" s="13"/>
      <c r="G117" s="13"/>
      <c r="H117" s="13"/>
      <c r="I117" s="13"/>
      <c r="J117" s="14"/>
    </row>
    <row r="118">
      <c r="A118" s="15"/>
      <c r="B118" s="13"/>
      <c r="C118" s="13"/>
      <c r="D118" s="13"/>
      <c r="E118" s="13"/>
      <c r="F118" s="13"/>
      <c r="G118" s="13"/>
      <c r="H118" s="13"/>
      <c r="I118" s="13"/>
      <c r="J118" s="14"/>
    </row>
    <row r="119">
      <c r="A119" s="15"/>
      <c r="B119" s="13"/>
      <c r="C119" s="13"/>
      <c r="D119" s="13"/>
      <c r="E119" s="13"/>
      <c r="F119" s="13"/>
      <c r="G119" s="13"/>
      <c r="H119" s="13"/>
      <c r="I119" s="13"/>
      <c r="J119" s="14"/>
    </row>
    <row r="120">
      <c r="A120" s="15"/>
      <c r="B120" s="13"/>
      <c r="C120" s="13"/>
      <c r="D120" s="13"/>
      <c r="E120" s="13"/>
      <c r="F120" s="13"/>
      <c r="G120" s="13"/>
      <c r="H120" s="13"/>
      <c r="I120" s="13"/>
      <c r="J120" s="14"/>
    </row>
    <row r="121">
      <c r="A121" s="15"/>
      <c r="B121" s="13"/>
      <c r="C121" s="13"/>
      <c r="D121" s="13"/>
      <c r="E121" s="13"/>
      <c r="F121" s="13"/>
      <c r="G121" s="13"/>
      <c r="H121" s="13"/>
      <c r="I121" s="13"/>
      <c r="J121" s="14"/>
    </row>
    <row r="122">
      <c r="A122" s="15"/>
      <c r="B122" s="13"/>
      <c r="C122" s="13"/>
      <c r="D122" s="13"/>
      <c r="E122" s="13"/>
      <c r="F122" s="13"/>
      <c r="G122" s="13"/>
      <c r="H122" s="13"/>
      <c r="I122" s="13"/>
      <c r="J122" s="14"/>
    </row>
    <row r="123">
      <c r="A123" s="15"/>
      <c r="B123" s="13"/>
      <c r="C123" s="13"/>
      <c r="D123" s="13"/>
      <c r="E123" s="13"/>
      <c r="F123" s="13"/>
      <c r="G123" s="13"/>
      <c r="H123" s="13"/>
      <c r="I123" s="13"/>
      <c r="J123" s="14"/>
    </row>
    <row r="124">
      <c r="A124" s="15"/>
      <c r="B124" s="13"/>
      <c r="C124" s="13"/>
      <c r="D124" s="13"/>
      <c r="E124" s="13"/>
      <c r="F124" s="13"/>
      <c r="G124" s="13"/>
      <c r="H124" s="13"/>
      <c r="I124" s="13"/>
      <c r="J124" s="14"/>
    </row>
    <row r="125">
      <c r="A125" s="15"/>
      <c r="B125" s="13"/>
      <c r="C125" s="13"/>
      <c r="D125" s="13"/>
      <c r="E125" s="13"/>
      <c r="F125" s="13"/>
      <c r="G125" s="13"/>
      <c r="H125" s="13"/>
      <c r="I125" s="13"/>
      <c r="J125" s="14"/>
    </row>
    <row r="126">
      <c r="A126" s="15"/>
      <c r="B126" s="13"/>
      <c r="C126" s="13"/>
      <c r="D126" s="13"/>
      <c r="E126" s="13"/>
      <c r="F126" s="13"/>
      <c r="G126" s="13"/>
      <c r="H126" s="13"/>
      <c r="I126" s="13"/>
      <c r="J126" s="14"/>
    </row>
    <row r="127">
      <c r="A127" s="15"/>
      <c r="B127" s="13"/>
      <c r="C127" s="13"/>
      <c r="D127" s="13"/>
      <c r="E127" s="13"/>
      <c r="F127" s="13"/>
      <c r="G127" s="13"/>
      <c r="H127" s="13"/>
      <c r="I127" s="13"/>
      <c r="J127" s="14"/>
    </row>
    <row r="128">
      <c r="A128" s="15"/>
      <c r="B128" s="13"/>
      <c r="C128" s="13"/>
      <c r="D128" s="13"/>
      <c r="E128" s="13"/>
      <c r="F128" s="13"/>
      <c r="G128" s="13"/>
      <c r="H128" s="13"/>
      <c r="I128" s="13"/>
      <c r="J128" s="14"/>
    </row>
    <row r="129">
      <c r="A129" s="15"/>
      <c r="B129" s="13"/>
      <c r="C129" s="13"/>
      <c r="D129" s="13"/>
      <c r="E129" s="13"/>
      <c r="F129" s="13"/>
      <c r="G129" s="13"/>
      <c r="H129" s="13"/>
      <c r="I129" s="13"/>
      <c r="J129" s="14"/>
    </row>
    <row r="130">
      <c r="A130" s="15"/>
      <c r="B130" s="13"/>
      <c r="C130" s="13"/>
      <c r="D130" s="13"/>
      <c r="E130" s="13"/>
      <c r="F130" s="13"/>
      <c r="G130" s="13"/>
      <c r="H130" s="13"/>
      <c r="I130" s="13"/>
      <c r="J130" s="14"/>
    </row>
    <row r="131">
      <c r="A131" s="15"/>
      <c r="B131" s="13"/>
      <c r="C131" s="13"/>
      <c r="D131" s="13"/>
      <c r="E131" s="13"/>
      <c r="F131" s="13"/>
      <c r="G131" s="13"/>
      <c r="H131" s="13"/>
      <c r="I131" s="13"/>
      <c r="J131" s="14"/>
    </row>
    <row r="132">
      <c r="A132" s="15"/>
      <c r="B132" s="13"/>
      <c r="C132" s="13"/>
      <c r="D132" s="13"/>
      <c r="E132" s="13"/>
      <c r="F132" s="13"/>
      <c r="G132" s="13"/>
      <c r="H132" s="13"/>
      <c r="I132" s="13"/>
      <c r="J132" s="14"/>
    </row>
    <row r="133">
      <c r="A133" s="15"/>
      <c r="B133" s="13"/>
      <c r="C133" s="13"/>
      <c r="D133" s="13"/>
      <c r="E133" s="13"/>
      <c r="F133" s="13"/>
      <c r="G133" s="13"/>
      <c r="H133" s="13"/>
      <c r="I133" s="13"/>
      <c r="J133" s="14"/>
    </row>
    <row r="134">
      <c r="A134" s="15"/>
      <c r="B134" s="13"/>
      <c r="C134" s="13"/>
      <c r="D134" s="13"/>
      <c r="E134" s="13"/>
      <c r="F134" s="13"/>
      <c r="G134" s="13"/>
      <c r="H134" s="13"/>
      <c r="I134" s="13"/>
      <c r="J134" s="14"/>
    </row>
    <row r="135">
      <c r="A135" s="15"/>
      <c r="B135" s="13"/>
      <c r="C135" s="13"/>
      <c r="D135" s="13"/>
      <c r="E135" s="13"/>
      <c r="F135" s="13"/>
      <c r="G135" s="13"/>
      <c r="H135" s="13"/>
      <c r="I135" s="13"/>
      <c r="J135" s="14"/>
    </row>
    <row r="136">
      <c r="A136" s="15"/>
      <c r="B136" s="13"/>
      <c r="C136" s="13"/>
      <c r="D136" s="13"/>
      <c r="E136" s="13"/>
      <c r="F136" s="13"/>
      <c r="G136" s="13"/>
      <c r="H136" s="13"/>
      <c r="I136" s="13"/>
      <c r="J136" s="14"/>
    </row>
    <row r="137">
      <c r="A137" s="15"/>
      <c r="B137" s="13"/>
      <c r="C137" s="13"/>
      <c r="D137" s="13"/>
      <c r="E137" s="13"/>
      <c r="F137" s="13"/>
      <c r="G137" s="13"/>
      <c r="H137" s="13"/>
      <c r="I137" s="13"/>
      <c r="J137" s="14"/>
    </row>
    <row r="138">
      <c r="A138" s="15"/>
      <c r="B138" s="13"/>
      <c r="C138" s="13"/>
      <c r="D138" s="13"/>
      <c r="E138" s="13"/>
      <c r="F138" s="13"/>
      <c r="G138" s="13"/>
      <c r="H138" s="13"/>
      <c r="I138" s="13"/>
      <c r="J138" s="14"/>
    </row>
    <row r="139">
      <c r="A139" s="15"/>
      <c r="B139" s="13"/>
      <c r="C139" s="13"/>
      <c r="D139" s="13"/>
      <c r="E139" s="13"/>
      <c r="F139" s="13"/>
      <c r="G139" s="13"/>
      <c r="H139" s="13"/>
      <c r="I139" s="13"/>
      <c r="J139" s="14"/>
    </row>
    <row r="140">
      <c r="A140" s="15"/>
      <c r="B140" s="13"/>
      <c r="C140" s="13"/>
      <c r="D140" s="13"/>
      <c r="E140" s="13"/>
      <c r="F140" s="13"/>
      <c r="G140" s="13"/>
      <c r="H140" s="13"/>
      <c r="I140" s="13"/>
      <c r="J140" s="14"/>
    </row>
    <row r="141">
      <c r="A141" s="15"/>
      <c r="B141" s="13"/>
      <c r="C141" s="13"/>
      <c r="D141" s="13"/>
      <c r="E141" s="13"/>
      <c r="F141" s="13"/>
      <c r="G141" s="13"/>
      <c r="H141" s="13"/>
      <c r="I141" s="13"/>
      <c r="J141" s="14"/>
    </row>
    <row r="142">
      <c r="A142" s="15"/>
      <c r="B142" s="13"/>
      <c r="C142" s="13"/>
      <c r="D142" s="13"/>
      <c r="E142" s="13"/>
      <c r="F142" s="13"/>
      <c r="G142" s="13"/>
      <c r="H142" s="13"/>
      <c r="I142" s="13"/>
      <c r="J142" s="14"/>
    </row>
    <row r="143">
      <c r="A143" s="15"/>
      <c r="B143" s="13"/>
      <c r="C143" s="13"/>
      <c r="D143" s="13"/>
      <c r="E143" s="13"/>
      <c r="F143" s="13"/>
      <c r="G143" s="13"/>
      <c r="H143" s="13"/>
      <c r="I143" s="13"/>
      <c r="J143" s="14"/>
    </row>
    <row r="144">
      <c r="A144" s="15"/>
      <c r="B144" s="13"/>
      <c r="C144" s="13"/>
      <c r="D144" s="13"/>
      <c r="E144" s="13"/>
      <c r="F144" s="13"/>
      <c r="G144" s="13"/>
      <c r="H144" s="13"/>
      <c r="I144" s="13"/>
      <c r="J144" s="14"/>
    </row>
    <row r="145">
      <c r="A145" s="15"/>
      <c r="B145" s="13"/>
      <c r="C145" s="13"/>
      <c r="D145" s="13"/>
      <c r="E145" s="13"/>
      <c r="F145" s="13"/>
      <c r="G145" s="13"/>
      <c r="H145" s="13"/>
      <c r="I145" s="13"/>
      <c r="J145" s="14"/>
    </row>
    <row r="146">
      <c r="A146" s="15"/>
      <c r="B146" s="13"/>
      <c r="C146" s="13"/>
      <c r="D146" s="13"/>
      <c r="E146" s="13"/>
      <c r="F146" s="13"/>
      <c r="G146" s="13"/>
      <c r="H146" s="13"/>
      <c r="I146" s="13"/>
      <c r="J146" s="14"/>
    </row>
    <row r="147">
      <c r="A147" s="15"/>
      <c r="B147" s="13"/>
      <c r="C147" s="13"/>
      <c r="D147" s="13"/>
      <c r="E147" s="13"/>
      <c r="F147" s="13"/>
      <c r="G147" s="13"/>
      <c r="H147" s="13"/>
      <c r="I147" s="13"/>
      <c r="J147" s="14"/>
    </row>
    <row r="148">
      <c r="A148" s="15"/>
      <c r="B148" s="13"/>
      <c r="C148" s="13"/>
      <c r="D148" s="13"/>
      <c r="E148" s="13"/>
      <c r="F148" s="13"/>
      <c r="G148" s="13"/>
      <c r="H148" s="13"/>
      <c r="I148" s="13"/>
      <c r="J148" s="14"/>
    </row>
    <row r="149">
      <c r="A149" s="15"/>
      <c r="B149" s="13"/>
      <c r="C149" s="13"/>
      <c r="D149" s="13"/>
      <c r="E149" s="13"/>
      <c r="F149" s="13"/>
      <c r="G149" s="13"/>
      <c r="H149" s="13"/>
      <c r="I149" s="13"/>
      <c r="J149" s="14"/>
    </row>
    <row r="150">
      <c r="A150" s="15"/>
      <c r="B150" s="13"/>
      <c r="C150" s="13"/>
      <c r="D150" s="13"/>
      <c r="E150" s="13"/>
      <c r="F150" s="13"/>
      <c r="G150" s="13"/>
      <c r="H150" s="13"/>
      <c r="I150" s="13"/>
      <c r="J150" s="14"/>
    </row>
    <row r="151">
      <c r="A151" s="15"/>
      <c r="B151" s="13"/>
      <c r="C151" s="13"/>
      <c r="D151" s="13"/>
      <c r="E151" s="13"/>
      <c r="F151" s="13"/>
      <c r="G151" s="13"/>
      <c r="H151" s="13"/>
      <c r="I151" s="13"/>
      <c r="J151" s="14"/>
    </row>
    <row r="152">
      <c r="A152" s="15"/>
      <c r="B152" s="13"/>
      <c r="C152" s="13"/>
      <c r="D152" s="13"/>
      <c r="E152" s="13"/>
      <c r="F152" s="13"/>
      <c r="G152" s="13"/>
      <c r="H152" s="13"/>
      <c r="I152" s="13"/>
      <c r="J152" s="14"/>
    </row>
    <row r="153">
      <c r="A153" s="15"/>
      <c r="B153" s="13"/>
      <c r="C153" s="13"/>
      <c r="D153" s="13"/>
      <c r="E153" s="13"/>
      <c r="F153" s="13"/>
      <c r="G153" s="13"/>
      <c r="H153" s="13"/>
      <c r="I153" s="13"/>
      <c r="J153" s="14"/>
    </row>
    <row r="154">
      <c r="A154" s="15"/>
      <c r="B154" s="13"/>
      <c r="C154" s="13"/>
      <c r="D154" s="13"/>
      <c r="E154" s="13"/>
      <c r="F154" s="13"/>
      <c r="G154" s="13"/>
      <c r="H154" s="13"/>
      <c r="I154" s="13"/>
      <c r="J154" s="14"/>
    </row>
    <row r="155">
      <c r="A155" s="15"/>
      <c r="B155" s="13"/>
      <c r="C155" s="13"/>
      <c r="D155" s="13"/>
      <c r="E155" s="13"/>
      <c r="F155" s="13"/>
      <c r="G155" s="13"/>
      <c r="H155" s="13"/>
      <c r="I155" s="13"/>
      <c r="J155" s="14"/>
    </row>
    <row r="156">
      <c r="A156" s="15"/>
      <c r="B156" s="13"/>
      <c r="C156" s="13"/>
      <c r="D156" s="13"/>
      <c r="E156" s="13"/>
      <c r="F156" s="13"/>
      <c r="G156" s="13"/>
      <c r="H156" s="13"/>
      <c r="I156" s="13"/>
      <c r="J156" s="14"/>
    </row>
    <row r="157">
      <c r="A157" s="15"/>
      <c r="B157" s="13"/>
      <c r="C157" s="13"/>
      <c r="D157" s="13"/>
      <c r="E157" s="13"/>
      <c r="F157" s="13"/>
      <c r="G157" s="13"/>
      <c r="H157" s="13"/>
      <c r="I157" s="13"/>
      <c r="J157" s="14"/>
    </row>
    <row r="158">
      <c r="A158" s="15"/>
      <c r="B158" s="13"/>
      <c r="C158" s="13"/>
      <c r="D158" s="13"/>
      <c r="E158" s="13"/>
      <c r="F158" s="13"/>
      <c r="G158" s="13"/>
      <c r="H158" s="13"/>
      <c r="I158" s="13"/>
      <c r="J158" s="14"/>
    </row>
    <row r="159">
      <c r="A159" s="15"/>
      <c r="B159" s="13"/>
      <c r="C159" s="13"/>
      <c r="D159" s="13"/>
      <c r="E159" s="13"/>
      <c r="F159" s="13"/>
      <c r="G159" s="13"/>
      <c r="H159" s="13"/>
      <c r="I159" s="13"/>
      <c r="J159" s="14"/>
    </row>
    <row r="160">
      <c r="A160" s="15"/>
      <c r="B160" s="13"/>
      <c r="C160" s="13"/>
      <c r="D160" s="13"/>
      <c r="E160" s="13"/>
      <c r="F160" s="13"/>
      <c r="G160" s="13"/>
      <c r="H160" s="13"/>
      <c r="I160" s="13"/>
      <c r="J160" s="14"/>
    </row>
    <row r="161">
      <c r="A161" s="15"/>
      <c r="B161" s="13"/>
      <c r="C161" s="13"/>
      <c r="D161" s="13"/>
      <c r="E161" s="13"/>
      <c r="F161" s="13"/>
      <c r="G161" s="13"/>
      <c r="H161" s="13"/>
      <c r="I161" s="13"/>
      <c r="J161" s="14"/>
    </row>
    <row r="162">
      <c r="A162" s="15"/>
      <c r="B162" s="13"/>
      <c r="C162" s="13"/>
      <c r="D162" s="13"/>
      <c r="E162" s="13"/>
      <c r="F162" s="13"/>
      <c r="G162" s="13"/>
      <c r="H162" s="13"/>
      <c r="I162" s="13"/>
      <c r="J162" s="14"/>
    </row>
    <row r="163">
      <c r="A163" s="15"/>
      <c r="B163" s="13"/>
      <c r="C163" s="13"/>
      <c r="D163" s="13"/>
      <c r="E163" s="13"/>
      <c r="F163" s="13"/>
      <c r="G163" s="13"/>
      <c r="H163" s="13"/>
      <c r="I163" s="13"/>
      <c r="J163" s="14"/>
    </row>
    <row r="164">
      <c r="A164" s="15"/>
      <c r="B164" s="13"/>
      <c r="C164" s="13"/>
      <c r="D164" s="13"/>
      <c r="E164" s="13"/>
      <c r="F164" s="13"/>
      <c r="G164" s="13"/>
      <c r="H164" s="13"/>
      <c r="I164" s="13"/>
      <c r="J164" s="14"/>
    </row>
    <row r="165">
      <c r="A165" s="15"/>
      <c r="B165" s="13"/>
      <c r="C165" s="13"/>
      <c r="D165" s="13"/>
      <c r="E165" s="13"/>
      <c r="F165" s="13"/>
      <c r="G165" s="13"/>
      <c r="H165" s="13"/>
      <c r="I165" s="13"/>
      <c r="J165" s="14"/>
    </row>
    <row r="166">
      <c r="A166" s="15"/>
      <c r="B166" s="13"/>
      <c r="C166" s="13"/>
      <c r="D166" s="13"/>
      <c r="E166" s="13"/>
      <c r="F166" s="13"/>
      <c r="G166" s="13"/>
      <c r="H166" s="13"/>
      <c r="I166" s="13"/>
      <c r="J166" s="14"/>
    </row>
    <row r="167">
      <c r="A167" s="15"/>
      <c r="B167" s="13"/>
      <c r="C167" s="13"/>
      <c r="D167" s="13"/>
      <c r="E167" s="13"/>
      <c r="F167" s="13"/>
      <c r="G167" s="13"/>
      <c r="H167" s="13"/>
      <c r="I167" s="13"/>
      <c r="J167" s="14"/>
    </row>
    <row r="168">
      <c r="A168" s="15"/>
      <c r="B168" s="13"/>
      <c r="C168" s="13"/>
      <c r="D168" s="13"/>
      <c r="E168" s="13"/>
      <c r="F168" s="13"/>
      <c r="G168" s="13"/>
      <c r="H168" s="13"/>
      <c r="I168" s="13"/>
      <c r="J168" s="14"/>
    </row>
    <row r="169">
      <c r="A169" s="15"/>
      <c r="B169" s="13"/>
      <c r="C169" s="13"/>
      <c r="D169" s="13"/>
      <c r="E169" s="13"/>
      <c r="F169" s="13"/>
      <c r="G169" s="13"/>
      <c r="H169" s="13"/>
      <c r="I169" s="13"/>
      <c r="J169" s="14"/>
    </row>
    <row r="170">
      <c r="A170" s="15"/>
      <c r="B170" s="13"/>
      <c r="C170" s="13"/>
      <c r="D170" s="13"/>
      <c r="E170" s="13"/>
      <c r="F170" s="13"/>
      <c r="G170" s="13"/>
      <c r="H170" s="13"/>
      <c r="I170" s="13"/>
      <c r="J170" s="14"/>
    </row>
    <row r="171">
      <c r="A171" s="15"/>
      <c r="B171" s="13"/>
      <c r="C171" s="13"/>
      <c r="D171" s="13"/>
      <c r="E171" s="13"/>
      <c r="F171" s="13"/>
      <c r="G171" s="13"/>
      <c r="H171" s="13"/>
      <c r="I171" s="13"/>
      <c r="J171" s="14"/>
    </row>
    <row r="172">
      <c r="A172" s="15"/>
      <c r="B172" s="13"/>
      <c r="C172" s="13"/>
      <c r="D172" s="13"/>
      <c r="E172" s="13"/>
      <c r="F172" s="13"/>
      <c r="G172" s="13"/>
      <c r="H172" s="13"/>
      <c r="I172" s="13"/>
      <c r="J172" s="14"/>
    </row>
    <row r="173">
      <c r="A173" s="15"/>
      <c r="B173" s="13"/>
      <c r="C173" s="13"/>
      <c r="D173" s="13"/>
      <c r="E173" s="13"/>
      <c r="F173" s="13"/>
      <c r="G173" s="13"/>
      <c r="H173" s="13"/>
      <c r="I173" s="13"/>
      <c r="J173" s="14"/>
    </row>
    <row r="174">
      <c r="A174" s="15"/>
      <c r="B174" s="13"/>
      <c r="C174" s="13"/>
      <c r="D174" s="13"/>
      <c r="E174" s="13"/>
      <c r="F174" s="13"/>
      <c r="G174" s="13"/>
      <c r="H174" s="13"/>
      <c r="I174" s="13"/>
      <c r="J174" s="14"/>
    </row>
    <row r="175">
      <c r="A175" s="15"/>
      <c r="B175" s="13"/>
      <c r="C175" s="13"/>
      <c r="D175" s="13"/>
      <c r="E175" s="13"/>
      <c r="F175" s="13"/>
      <c r="G175" s="13"/>
      <c r="H175" s="13"/>
      <c r="I175" s="13"/>
      <c r="J175" s="14"/>
    </row>
    <row r="176">
      <c r="A176" s="15"/>
      <c r="B176" s="13"/>
      <c r="C176" s="13"/>
      <c r="D176" s="13"/>
      <c r="E176" s="13"/>
      <c r="F176" s="13"/>
      <c r="G176" s="13"/>
      <c r="H176" s="13"/>
      <c r="I176" s="13"/>
      <c r="J176" s="14"/>
    </row>
    <row r="177">
      <c r="A177" s="15"/>
      <c r="B177" s="13"/>
      <c r="C177" s="13"/>
      <c r="D177" s="13"/>
      <c r="E177" s="13"/>
      <c r="F177" s="13"/>
      <c r="G177" s="13"/>
      <c r="H177" s="13"/>
      <c r="I177" s="13"/>
      <c r="J177" s="14"/>
    </row>
    <row r="178">
      <c r="A178" s="15"/>
      <c r="B178" s="13"/>
      <c r="C178" s="13"/>
      <c r="D178" s="13"/>
      <c r="E178" s="13"/>
      <c r="F178" s="13"/>
      <c r="G178" s="13"/>
      <c r="H178" s="13"/>
      <c r="I178" s="13"/>
      <c r="J178" s="14"/>
    </row>
    <row r="179">
      <c r="A179" s="15"/>
      <c r="B179" s="13"/>
      <c r="C179" s="13"/>
      <c r="D179" s="13"/>
      <c r="E179" s="13"/>
      <c r="F179" s="13"/>
      <c r="G179" s="13"/>
      <c r="H179" s="13"/>
      <c r="I179" s="13"/>
      <c r="J179" s="14"/>
    </row>
    <row r="180">
      <c r="A180" s="15"/>
      <c r="B180" s="13"/>
      <c r="C180" s="13"/>
      <c r="D180" s="13"/>
      <c r="E180" s="13"/>
      <c r="F180" s="13"/>
      <c r="G180" s="13"/>
      <c r="H180" s="13"/>
      <c r="I180" s="13"/>
      <c r="J180" s="14"/>
    </row>
    <row r="181">
      <c r="A181" s="15"/>
      <c r="B181" s="13"/>
      <c r="C181" s="13"/>
      <c r="D181" s="13"/>
      <c r="E181" s="13"/>
      <c r="F181" s="13"/>
      <c r="G181" s="13"/>
      <c r="H181" s="13"/>
      <c r="I181" s="13"/>
      <c r="J181" s="14"/>
    </row>
    <row r="182">
      <c r="A182" s="15"/>
      <c r="B182" s="13"/>
      <c r="C182" s="13"/>
      <c r="D182" s="13"/>
      <c r="E182" s="13"/>
      <c r="F182" s="13"/>
      <c r="G182" s="13"/>
      <c r="H182" s="13"/>
      <c r="I182" s="13"/>
      <c r="J182" s="14"/>
    </row>
    <row r="183">
      <c r="A183" s="15"/>
      <c r="B183" s="13"/>
      <c r="C183" s="13"/>
      <c r="D183" s="13"/>
      <c r="E183" s="13"/>
      <c r="F183" s="13"/>
      <c r="G183" s="13"/>
      <c r="H183" s="13"/>
      <c r="I183" s="13"/>
      <c r="J183" s="14"/>
    </row>
    <row r="184">
      <c r="A184" s="15"/>
      <c r="B184" s="13"/>
      <c r="C184" s="13"/>
      <c r="D184" s="13"/>
      <c r="E184" s="13"/>
      <c r="F184" s="13"/>
      <c r="G184" s="13"/>
      <c r="H184" s="13"/>
      <c r="I184" s="13"/>
      <c r="J184" s="14"/>
    </row>
    <row r="185">
      <c r="A185" s="15"/>
      <c r="B185" s="13"/>
      <c r="C185" s="13"/>
      <c r="D185" s="13"/>
      <c r="E185" s="13"/>
      <c r="F185" s="13"/>
      <c r="G185" s="13"/>
      <c r="H185" s="13"/>
      <c r="I185" s="13"/>
      <c r="J185" s="14"/>
    </row>
    <row r="186">
      <c r="A186" s="15"/>
      <c r="B186" s="13"/>
      <c r="C186" s="13"/>
      <c r="D186" s="13"/>
      <c r="E186" s="13"/>
      <c r="F186" s="13"/>
      <c r="G186" s="13"/>
      <c r="H186" s="13"/>
      <c r="I186" s="13"/>
      <c r="J186" s="14"/>
    </row>
    <row r="187">
      <c r="A187" s="15"/>
      <c r="B187" s="13"/>
      <c r="C187" s="13"/>
      <c r="D187" s="13"/>
      <c r="E187" s="13"/>
      <c r="F187" s="13"/>
      <c r="G187" s="13"/>
      <c r="H187" s="13"/>
      <c r="I187" s="13"/>
      <c r="J187" s="14"/>
    </row>
    <row r="188">
      <c r="A188" s="15"/>
      <c r="B188" s="13"/>
      <c r="C188" s="13"/>
      <c r="D188" s="13"/>
      <c r="E188" s="13"/>
      <c r="F188" s="13"/>
      <c r="G188" s="13"/>
      <c r="H188" s="13"/>
      <c r="I188" s="13"/>
      <c r="J188" s="14"/>
    </row>
    <row r="189">
      <c r="A189" s="15"/>
      <c r="B189" s="13"/>
      <c r="C189" s="13"/>
      <c r="D189" s="13"/>
      <c r="E189" s="13"/>
      <c r="F189" s="13"/>
      <c r="G189" s="13"/>
      <c r="H189" s="13"/>
      <c r="I189" s="13"/>
      <c r="J189" s="14"/>
    </row>
    <row r="190">
      <c r="A190" s="15"/>
      <c r="B190" s="13"/>
      <c r="C190" s="13"/>
      <c r="D190" s="13"/>
      <c r="E190" s="13"/>
      <c r="F190" s="13"/>
      <c r="G190" s="13"/>
      <c r="H190" s="13"/>
      <c r="I190" s="13"/>
      <c r="J190" s="14"/>
    </row>
    <row r="191">
      <c r="A191" s="15"/>
      <c r="B191" s="13"/>
      <c r="C191" s="13"/>
      <c r="D191" s="13"/>
      <c r="E191" s="13"/>
      <c r="F191" s="13"/>
      <c r="G191" s="13"/>
      <c r="H191" s="13"/>
      <c r="I191" s="13"/>
      <c r="J191" s="14"/>
    </row>
    <row r="192">
      <c r="A192" s="15"/>
      <c r="B192" s="13"/>
      <c r="C192" s="13"/>
      <c r="D192" s="13"/>
      <c r="E192" s="13"/>
      <c r="F192" s="13"/>
      <c r="G192" s="13"/>
      <c r="H192" s="13"/>
      <c r="I192" s="13"/>
      <c r="J192" s="14"/>
    </row>
    <row r="193">
      <c r="A193" s="15"/>
      <c r="B193" s="13"/>
      <c r="C193" s="13"/>
      <c r="D193" s="13"/>
      <c r="E193" s="13"/>
      <c r="F193" s="13"/>
      <c r="G193" s="13"/>
      <c r="H193" s="13"/>
      <c r="I193" s="13"/>
      <c r="J193" s="14"/>
    </row>
    <row r="194">
      <c r="A194" s="15"/>
      <c r="B194" s="13"/>
      <c r="C194" s="13"/>
      <c r="D194" s="13"/>
      <c r="E194" s="13"/>
      <c r="F194" s="13"/>
      <c r="G194" s="13"/>
      <c r="H194" s="13"/>
      <c r="I194" s="13"/>
      <c r="J194" s="14"/>
    </row>
    <row r="195">
      <c r="A195" s="15"/>
      <c r="B195" s="13"/>
      <c r="C195" s="13"/>
      <c r="D195" s="13"/>
      <c r="E195" s="13"/>
      <c r="F195" s="13"/>
      <c r="G195" s="13"/>
      <c r="H195" s="13"/>
      <c r="I195" s="13"/>
      <c r="J195" s="14"/>
    </row>
    <row r="196">
      <c r="A196" s="15"/>
      <c r="B196" s="13"/>
      <c r="C196" s="13"/>
      <c r="D196" s="13"/>
      <c r="E196" s="13"/>
      <c r="F196" s="13"/>
      <c r="G196" s="13"/>
      <c r="H196" s="13"/>
      <c r="I196" s="13"/>
      <c r="J196" s="14"/>
    </row>
    <row r="197">
      <c r="A197" s="15"/>
      <c r="B197" s="13"/>
      <c r="C197" s="13"/>
      <c r="D197" s="13"/>
      <c r="E197" s="13"/>
      <c r="F197" s="13"/>
      <c r="G197" s="13"/>
      <c r="H197" s="13"/>
      <c r="I197" s="13"/>
      <c r="J197" s="14"/>
    </row>
    <row r="198">
      <c r="A198" s="15"/>
      <c r="B198" s="13"/>
      <c r="C198" s="13"/>
      <c r="D198" s="13"/>
      <c r="E198" s="13"/>
      <c r="F198" s="13"/>
      <c r="G198" s="13"/>
      <c r="H198" s="13"/>
      <c r="I198" s="13"/>
      <c r="J198" s="14"/>
    </row>
    <row r="199">
      <c r="A199" s="15"/>
      <c r="B199" s="13"/>
      <c r="C199" s="13"/>
      <c r="D199" s="13"/>
      <c r="E199" s="13"/>
      <c r="F199" s="13"/>
      <c r="G199" s="13"/>
      <c r="H199" s="13"/>
      <c r="I199" s="13"/>
      <c r="J199" s="14"/>
    </row>
    <row r="200">
      <c r="A200" s="15"/>
      <c r="B200" s="13"/>
      <c r="C200" s="13"/>
      <c r="D200" s="13"/>
      <c r="E200" s="13"/>
      <c r="F200" s="13"/>
      <c r="G200" s="13"/>
      <c r="H200" s="13"/>
      <c r="I200" s="13"/>
      <c r="J200" s="14"/>
    </row>
    <row r="201">
      <c r="A201" s="15"/>
      <c r="B201" s="13"/>
      <c r="C201" s="13"/>
      <c r="D201" s="13"/>
      <c r="E201" s="13"/>
      <c r="F201" s="13"/>
      <c r="G201" s="13"/>
      <c r="H201" s="13"/>
      <c r="I201" s="13"/>
      <c r="J201" s="14"/>
    </row>
    <row r="202">
      <c r="A202" s="15"/>
      <c r="B202" s="13"/>
      <c r="C202" s="13"/>
      <c r="D202" s="13"/>
      <c r="E202" s="13"/>
      <c r="F202" s="13"/>
      <c r="G202" s="13"/>
      <c r="H202" s="13"/>
      <c r="I202" s="13"/>
      <c r="J202" s="14"/>
    </row>
    <row r="203">
      <c r="A203" s="15"/>
      <c r="B203" s="13"/>
      <c r="C203" s="13"/>
      <c r="D203" s="13"/>
      <c r="E203" s="13"/>
      <c r="F203" s="13"/>
      <c r="G203" s="13"/>
      <c r="H203" s="13"/>
      <c r="I203" s="13"/>
      <c r="J203" s="14"/>
    </row>
    <row r="204">
      <c r="A204" s="15"/>
      <c r="B204" s="13"/>
      <c r="C204" s="13"/>
      <c r="D204" s="13"/>
      <c r="E204" s="13"/>
      <c r="F204" s="13"/>
      <c r="G204" s="13"/>
      <c r="H204" s="13"/>
      <c r="I204" s="13"/>
      <c r="J204" s="14"/>
    </row>
    <row r="205">
      <c r="A205" s="15"/>
      <c r="B205" s="13"/>
      <c r="C205" s="13"/>
      <c r="D205" s="13"/>
      <c r="E205" s="13"/>
      <c r="F205" s="13"/>
      <c r="G205" s="13"/>
      <c r="H205" s="13"/>
      <c r="I205" s="13"/>
      <c r="J205" s="14"/>
    </row>
    <row r="206">
      <c r="A206" s="15"/>
      <c r="B206" s="13"/>
      <c r="C206" s="13"/>
      <c r="D206" s="13"/>
      <c r="E206" s="13"/>
      <c r="F206" s="13"/>
      <c r="G206" s="13"/>
      <c r="H206" s="13"/>
      <c r="I206" s="13"/>
      <c r="J206" s="14"/>
    </row>
    <row r="207">
      <c r="A207" s="15"/>
      <c r="B207" s="13"/>
      <c r="C207" s="13"/>
      <c r="D207" s="13"/>
      <c r="E207" s="13"/>
      <c r="F207" s="13"/>
      <c r="G207" s="13"/>
      <c r="H207" s="13"/>
      <c r="I207" s="13"/>
      <c r="J207" s="14"/>
    </row>
    <row r="208">
      <c r="A208" s="15"/>
      <c r="B208" s="13"/>
      <c r="C208" s="13"/>
      <c r="D208" s="13"/>
      <c r="E208" s="13"/>
      <c r="F208" s="13"/>
      <c r="G208" s="13"/>
      <c r="H208" s="13"/>
      <c r="I208" s="13"/>
      <c r="J208" s="14"/>
    </row>
    <row r="209">
      <c r="A209" s="15"/>
      <c r="B209" s="13"/>
      <c r="C209" s="13"/>
      <c r="D209" s="13"/>
      <c r="E209" s="13"/>
      <c r="F209" s="13"/>
      <c r="G209" s="13"/>
      <c r="H209" s="13"/>
      <c r="I209" s="13"/>
      <c r="J209" s="14"/>
    </row>
    <row r="210">
      <c r="A210" s="15"/>
      <c r="B210" s="13"/>
      <c r="C210" s="13"/>
      <c r="D210" s="13"/>
      <c r="E210" s="13"/>
      <c r="F210" s="13"/>
      <c r="G210" s="13"/>
      <c r="H210" s="13"/>
      <c r="I210" s="13"/>
      <c r="J210" s="14"/>
    </row>
    <row r="211">
      <c r="A211" s="15"/>
      <c r="B211" s="13"/>
      <c r="C211" s="13"/>
      <c r="D211" s="13"/>
      <c r="E211" s="13"/>
      <c r="F211" s="13"/>
      <c r="G211" s="13"/>
      <c r="H211" s="13"/>
      <c r="I211" s="13"/>
      <c r="J211" s="14"/>
    </row>
    <row r="212">
      <c r="A212" s="15"/>
      <c r="B212" s="13"/>
      <c r="C212" s="13"/>
      <c r="D212" s="13"/>
      <c r="E212" s="13"/>
      <c r="F212" s="13"/>
      <c r="G212" s="13"/>
      <c r="H212" s="13"/>
      <c r="I212" s="13"/>
      <c r="J212" s="14"/>
    </row>
    <row r="213">
      <c r="A213" s="15"/>
      <c r="B213" s="13"/>
      <c r="C213" s="13"/>
      <c r="D213" s="13"/>
      <c r="E213" s="13"/>
      <c r="F213" s="13"/>
      <c r="G213" s="13"/>
      <c r="H213" s="13"/>
      <c r="I213" s="13"/>
      <c r="J213" s="14"/>
    </row>
    <row r="214">
      <c r="A214" s="15"/>
      <c r="B214" s="13"/>
      <c r="C214" s="13"/>
      <c r="D214" s="13"/>
      <c r="E214" s="13"/>
      <c r="F214" s="13"/>
      <c r="G214" s="13"/>
      <c r="H214" s="13"/>
      <c r="I214" s="13"/>
      <c r="J214" s="14"/>
    </row>
    <row r="215">
      <c r="A215" s="15"/>
      <c r="B215" s="13"/>
      <c r="C215" s="13"/>
      <c r="D215" s="13"/>
      <c r="E215" s="13"/>
      <c r="F215" s="13"/>
      <c r="G215" s="13"/>
      <c r="H215" s="13"/>
      <c r="I215" s="13"/>
      <c r="J215" s="14"/>
    </row>
    <row r="216">
      <c r="A216" s="15"/>
      <c r="B216" s="13"/>
      <c r="C216" s="13"/>
      <c r="D216" s="13"/>
      <c r="E216" s="13"/>
      <c r="F216" s="13"/>
      <c r="G216" s="13"/>
      <c r="H216" s="13"/>
      <c r="I216" s="13"/>
      <c r="J216" s="14"/>
    </row>
    <row r="217">
      <c r="A217" s="15"/>
      <c r="B217" s="13"/>
      <c r="C217" s="13"/>
      <c r="D217" s="13"/>
      <c r="E217" s="13"/>
      <c r="F217" s="13"/>
      <c r="G217" s="13"/>
      <c r="H217" s="13"/>
      <c r="I217" s="13"/>
      <c r="J217" s="14"/>
    </row>
    <row r="218">
      <c r="A218" s="15"/>
      <c r="B218" s="13"/>
      <c r="C218" s="13"/>
      <c r="D218" s="13"/>
      <c r="E218" s="13"/>
      <c r="F218" s="13"/>
      <c r="G218" s="13"/>
      <c r="H218" s="13"/>
      <c r="I218" s="13"/>
      <c r="J218" s="14"/>
    </row>
    <row r="219">
      <c r="A219" s="15"/>
      <c r="B219" s="13"/>
      <c r="C219" s="13"/>
      <c r="D219" s="13"/>
      <c r="E219" s="13"/>
      <c r="F219" s="13"/>
      <c r="G219" s="13"/>
      <c r="H219" s="13"/>
      <c r="I219" s="13"/>
      <c r="J219" s="14"/>
    </row>
    <row r="220">
      <c r="A220" s="15"/>
      <c r="B220" s="13"/>
      <c r="C220" s="13"/>
      <c r="D220" s="13"/>
      <c r="E220" s="13"/>
      <c r="F220" s="13"/>
      <c r="G220" s="13"/>
      <c r="H220" s="13"/>
      <c r="I220" s="13"/>
      <c r="J220" s="14"/>
    </row>
    <row r="221">
      <c r="A221" s="15"/>
      <c r="B221" s="13"/>
      <c r="C221" s="13"/>
      <c r="D221" s="13"/>
      <c r="E221" s="13"/>
      <c r="F221" s="13"/>
      <c r="G221" s="13"/>
      <c r="H221" s="13"/>
      <c r="I221" s="13"/>
      <c r="J221" s="14"/>
    </row>
    <row r="222">
      <c r="A222" s="15"/>
      <c r="B222" s="13"/>
      <c r="C222" s="13"/>
      <c r="D222" s="13"/>
      <c r="E222" s="13"/>
      <c r="F222" s="13"/>
      <c r="G222" s="13"/>
      <c r="H222" s="13"/>
      <c r="I222" s="13"/>
      <c r="J222" s="14"/>
    </row>
    <row r="223">
      <c r="A223" s="15"/>
      <c r="B223" s="13"/>
      <c r="C223" s="13"/>
      <c r="D223" s="13"/>
      <c r="E223" s="13"/>
      <c r="F223" s="13"/>
      <c r="G223" s="13"/>
      <c r="H223" s="13"/>
      <c r="I223" s="13"/>
      <c r="J223" s="14"/>
    </row>
    <row r="224">
      <c r="A224" s="15"/>
      <c r="B224" s="13"/>
      <c r="C224" s="13"/>
      <c r="D224" s="13"/>
      <c r="E224" s="13"/>
      <c r="F224" s="13"/>
      <c r="G224" s="13"/>
      <c r="H224" s="13"/>
      <c r="I224" s="13"/>
      <c r="J224" s="14"/>
    </row>
    <row r="225">
      <c r="A225" s="15"/>
      <c r="B225" s="13"/>
      <c r="C225" s="13"/>
      <c r="D225" s="13"/>
      <c r="E225" s="13"/>
      <c r="F225" s="13"/>
      <c r="G225" s="13"/>
      <c r="H225" s="13"/>
      <c r="I225" s="13"/>
      <c r="J225" s="14"/>
    </row>
    <row r="226">
      <c r="A226" s="15"/>
      <c r="B226" s="13"/>
      <c r="C226" s="13"/>
      <c r="D226" s="13"/>
      <c r="E226" s="13"/>
      <c r="F226" s="13"/>
      <c r="G226" s="13"/>
      <c r="H226" s="13"/>
      <c r="I226" s="13"/>
      <c r="J226" s="14"/>
    </row>
    <row r="227">
      <c r="A227" s="15"/>
      <c r="B227" s="13"/>
      <c r="C227" s="13"/>
      <c r="D227" s="13"/>
      <c r="E227" s="13"/>
      <c r="F227" s="13"/>
      <c r="G227" s="13"/>
      <c r="H227" s="13"/>
      <c r="I227" s="13"/>
      <c r="J227" s="14"/>
    </row>
    <row r="228">
      <c r="A228" s="15"/>
      <c r="B228" s="13"/>
      <c r="C228" s="13"/>
      <c r="D228" s="13"/>
      <c r="E228" s="13"/>
      <c r="F228" s="13"/>
      <c r="G228" s="13"/>
      <c r="H228" s="13"/>
      <c r="I228" s="13"/>
      <c r="J228" s="14"/>
    </row>
    <row r="229">
      <c r="A229" s="15"/>
      <c r="B229" s="13"/>
      <c r="C229" s="13"/>
      <c r="D229" s="13"/>
      <c r="E229" s="13"/>
      <c r="F229" s="13"/>
      <c r="G229" s="13"/>
      <c r="H229" s="13"/>
      <c r="I229" s="13"/>
      <c r="J229" s="14"/>
    </row>
    <row r="230">
      <c r="A230" s="15"/>
      <c r="B230" s="13"/>
      <c r="C230" s="13"/>
      <c r="D230" s="13"/>
      <c r="E230" s="13"/>
      <c r="F230" s="13"/>
      <c r="G230" s="13"/>
      <c r="H230" s="13"/>
      <c r="I230" s="13"/>
      <c r="J230" s="14"/>
    </row>
    <row r="231">
      <c r="A231" s="15"/>
      <c r="B231" s="13"/>
      <c r="C231" s="13"/>
      <c r="D231" s="13"/>
      <c r="E231" s="13"/>
      <c r="F231" s="13"/>
      <c r="G231" s="13"/>
      <c r="H231" s="13"/>
      <c r="I231" s="13"/>
      <c r="J231" s="14"/>
    </row>
    <row r="232">
      <c r="A232" s="15"/>
      <c r="B232" s="13"/>
      <c r="C232" s="13"/>
      <c r="D232" s="13"/>
      <c r="E232" s="13"/>
      <c r="F232" s="13"/>
      <c r="G232" s="13"/>
      <c r="H232" s="13"/>
      <c r="I232" s="13"/>
      <c r="J232" s="14"/>
    </row>
    <row r="233">
      <c r="A233" s="15"/>
      <c r="B233" s="13"/>
      <c r="C233" s="13"/>
      <c r="D233" s="13"/>
      <c r="E233" s="13"/>
      <c r="F233" s="13"/>
      <c r="G233" s="13"/>
      <c r="H233" s="13"/>
      <c r="I233" s="13"/>
      <c r="J233" s="14"/>
    </row>
    <row r="234">
      <c r="A234" s="15"/>
      <c r="B234" s="13"/>
      <c r="C234" s="13"/>
      <c r="D234" s="13"/>
      <c r="E234" s="13"/>
      <c r="F234" s="13"/>
      <c r="G234" s="13"/>
      <c r="H234" s="13"/>
      <c r="I234" s="13"/>
      <c r="J234" s="14"/>
    </row>
    <row r="235">
      <c r="A235" s="15"/>
      <c r="B235" s="13"/>
      <c r="C235" s="13"/>
      <c r="D235" s="13"/>
      <c r="E235" s="13"/>
      <c r="F235" s="13"/>
      <c r="G235" s="13"/>
      <c r="H235" s="13"/>
      <c r="I235" s="13"/>
      <c r="J235" s="14"/>
    </row>
    <row r="236">
      <c r="A236" s="15"/>
      <c r="B236" s="13"/>
      <c r="C236" s="13"/>
      <c r="D236" s="13"/>
      <c r="E236" s="13"/>
      <c r="F236" s="13"/>
      <c r="G236" s="13"/>
      <c r="H236" s="13"/>
      <c r="I236" s="13"/>
      <c r="J236" s="14"/>
    </row>
    <row r="237">
      <c r="A237" s="15"/>
      <c r="B237" s="13"/>
      <c r="C237" s="13"/>
      <c r="D237" s="13"/>
      <c r="E237" s="13"/>
      <c r="F237" s="13"/>
      <c r="G237" s="13"/>
      <c r="H237" s="13"/>
      <c r="I237" s="13"/>
      <c r="J237" s="14"/>
    </row>
    <row r="238">
      <c r="A238" s="15"/>
      <c r="B238" s="13"/>
      <c r="C238" s="13"/>
      <c r="D238" s="13"/>
      <c r="E238" s="13"/>
      <c r="F238" s="13"/>
      <c r="G238" s="13"/>
      <c r="H238" s="13"/>
      <c r="I238" s="13"/>
      <c r="J238" s="14"/>
    </row>
    <row r="239">
      <c r="A239" s="15"/>
      <c r="B239" s="13"/>
      <c r="C239" s="13"/>
      <c r="D239" s="13"/>
      <c r="E239" s="13"/>
      <c r="F239" s="13"/>
      <c r="G239" s="13"/>
      <c r="H239" s="13"/>
      <c r="I239" s="13"/>
      <c r="J239" s="14"/>
    </row>
    <row r="240">
      <c r="A240" s="15"/>
      <c r="B240" s="13"/>
      <c r="C240" s="13"/>
      <c r="D240" s="13"/>
      <c r="E240" s="13"/>
      <c r="F240" s="13"/>
      <c r="G240" s="13"/>
      <c r="H240" s="13"/>
      <c r="I240" s="13"/>
      <c r="J240" s="14"/>
    </row>
    <row r="241">
      <c r="A241" s="15"/>
      <c r="B241" s="13"/>
      <c r="C241" s="13"/>
      <c r="D241" s="13"/>
      <c r="E241" s="13"/>
      <c r="F241" s="13"/>
      <c r="G241" s="13"/>
      <c r="H241" s="13"/>
      <c r="I241" s="13"/>
      <c r="J241" s="14"/>
    </row>
    <row r="242">
      <c r="A242" s="15"/>
      <c r="B242" s="13"/>
      <c r="C242" s="13"/>
      <c r="D242" s="13"/>
      <c r="E242" s="13"/>
      <c r="F242" s="13"/>
      <c r="G242" s="13"/>
      <c r="H242" s="13"/>
      <c r="I242" s="13"/>
      <c r="J242" s="14"/>
    </row>
    <row r="243">
      <c r="A243" s="15"/>
      <c r="B243" s="13"/>
      <c r="C243" s="13"/>
      <c r="D243" s="13"/>
      <c r="E243" s="13"/>
      <c r="F243" s="13"/>
      <c r="G243" s="13"/>
      <c r="H243" s="13"/>
      <c r="I243" s="13"/>
      <c r="J243" s="1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5"/>
  </cols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2.25"/>
  </cols>
  <sheetData>
    <row r="1" ht="22.5" customHeight="1">
      <c r="A1" s="1" t="s">
        <v>795</v>
      </c>
      <c r="B1" s="1" t="s">
        <v>8</v>
      </c>
    </row>
    <row r="2" ht="22.5" customHeight="1">
      <c r="A2" s="3" t="s">
        <v>10</v>
      </c>
      <c r="B2" s="4">
        <v>148.0</v>
      </c>
    </row>
    <row r="3" ht="22.5" customHeight="1">
      <c r="A3" s="3" t="s">
        <v>14</v>
      </c>
      <c r="B3" s="4">
        <v>85.0</v>
      </c>
    </row>
    <row r="4" ht="22.5" customHeight="1">
      <c r="A4" s="3" t="s">
        <v>16</v>
      </c>
      <c r="B4" s="4">
        <v>183.0</v>
      </c>
    </row>
    <row r="5" ht="22.5" customHeight="1">
      <c r="A5" s="3" t="s">
        <v>18</v>
      </c>
      <c r="B5" s="4">
        <v>89.0</v>
      </c>
    </row>
    <row r="6" ht="22.5" customHeight="1">
      <c r="A6" s="3" t="s">
        <v>19</v>
      </c>
      <c r="B6" s="4">
        <v>137.0</v>
      </c>
    </row>
    <row r="7" ht="22.5" customHeight="1">
      <c r="A7" s="3" t="s">
        <v>20</v>
      </c>
      <c r="B7" s="4">
        <v>116.0</v>
      </c>
    </row>
    <row r="8" ht="22.5" customHeight="1">
      <c r="A8" s="3" t="s">
        <v>22</v>
      </c>
      <c r="B8" s="4">
        <v>78.0</v>
      </c>
    </row>
    <row r="9" ht="22.5" customHeight="1">
      <c r="A9" s="3" t="s">
        <v>23</v>
      </c>
      <c r="B9" s="4">
        <v>115.0</v>
      </c>
    </row>
    <row r="10" ht="22.5" customHeight="1">
      <c r="A10" s="3" t="s">
        <v>24</v>
      </c>
      <c r="B10" s="4">
        <v>197.0</v>
      </c>
    </row>
    <row r="11" ht="22.5" customHeight="1">
      <c r="A11" s="3" t="s">
        <v>25</v>
      </c>
      <c r="B11" s="4">
        <v>125.0</v>
      </c>
    </row>
    <row r="12" ht="22.5" customHeight="1">
      <c r="A12" s="3" t="s">
        <v>27</v>
      </c>
      <c r="B12" s="4">
        <v>110.0</v>
      </c>
    </row>
    <row r="13" ht="22.5" customHeight="1">
      <c r="A13" s="3" t="s">
        <v>28</v>
      </c>
      <c r="B13" s="4">
        <v>168.0</v>
      </c>
    </row>
    <row r="14" ht="22.5" customHeight="1">
      <c r="A14" s="3" t="s">
        <v>29</v>
      </c>
      <c r="B14" s="4">
        <v>139.0</v>
      </c>
    </row>
    <row r="15" ht="22.5" customHeight="1">
      <c r="A15" s="3" t="s">
        <v>30</v>
      </c>
      <c r="B15" s="4">
        <v>189.0</v>
      </c>
    </row>
    <row r="16" ht="22.5" customHeight="1">
      <c r="A16" s="3" t="s">
        <v>31</v>
      </c>
      <c r="B16" s="4">
        <v>166.0</v>
      </c>
    </row>
    <row r="17" ht="22.5" customHeight="1">
      <c r="A17" s="3" t="s">
        <v>32</v>
      </c>
      <c r="B17" s="4">
        <v>100.0</v>
      </c>
    </row>
    <row r="18" ht="22.5" customHeight="1">
      <c r="A18" s="3" t="s">
        <v>33</v>
      </c>
      <c r="B18" s="4">
        <v>118.0</v>
      </c>
    </row>
    <row r="19" ht="22.5" customHeight="1">
      <c r="A19" s="3" t="s">
        <v>34</v>
      </c>
      <c r="B19" s="4">
        <v>107.0</v>
      </c>
    </row>
    <row r="20" ht="22.5" customHeight="1">
      <c r="A20" s="3" t="s">
        <v>35</v>
      </c>
      <c r="B20" s="4">
        <v>103.0</v>
      </c>
    </row>
    <row r="21" ht="22.5" customHeight="1">
      <c r="A21" s="3" t="s">
        <v>36</v>
      </c>
      <c r="B21" s="4">
        <v>115.0</v>
      </c>
    </row>
    <row r="22" ht="22.5" customHeight="1">
      <c r="A22" s="3" t="s">
        <v>37</v>
      </c>
      <c r="B22" s="4">
        <v>126.0</v>
      </c>
    </row>
    <row r="23" ht="22.5" customHeight="1">
      <c r="A23" s="3" t="s">
        <v>38</v>
      </c>
      <c r="B23" s="4">
        <v>99.0</v>
      </c>
    </row>
    <row r="24" ht="22.5" customHeight="1">
      <c r="A24" s="3" t="s">
        <v>39</v>
      </c>
      <c r="B24" s="4">
        <v>196.0</v>
      </c>
    </row>
    <row r="25" ht="22.5" customHeight="1">
      <c r="A25" s="3" t="s">
        <v>40</v>
      </c>
      <c r="B25" s="4">
        <v>119.0</v>
      </c>
    </row>
    <row r="26" ht="22.5" customHeight="1">
      <c r="A26" s="3" t="s">
        <v>41</v>
      </c>
      <c r="B26" s="4">
        <v>143.0</v>
      </c>
    </row>
    <row r="27" ht="22.5" customHeight="1">
      <c r="A27" s="3" t="s">
        <v>42</v>
      </c>
      <c r="B27" s="4">
        <v>125.0</v>
      </c>
    </row>
    <row r="28" ht="22.5" customHeight="1">
      <c r="A28" s="3" t="s">
        <v>43</v>
      </c>
      <c r="B28" s="4">
        <v>147.0</v>
      </c>
    </row>
    <row r="29" ht="22.5" customHeight="1">
      <c r="A29" s="3" t="s">
        <v>44</v>
      </c>
      <c r="B29" s="4">
        <v>97.0</v>
      </c>
    </row>
    <row r="30" ht="22.5" customHeight="1">
      <c r="A30" s="3" t="s">
        <v>45</v>
      </c>
      <c r="B30" s="4">
        <v>145.0</v>
      </c>
    </row>
    <row r="31" ht="22.5" customHeight="1">
      <c r="A31" s="3" t="s">
        <v>46</v>
      </c>
      <c r="B31" s="4">
        <v>117.0</v>
      </c>
    </row>
    <row r="32" ht="22.5" customHeight="1">
      <c r="A32" s="3" t="s">
        <v>47</v>
      </c>
      <c r="B32" s="4">
        <v>109.0</v>
      </c>
    </row>
    <row r="33" ht="22.5" customHeight="1">
      <c r="A33" s="3" t="s">
        <v>48</v>
      </c>
      <c r="B33" s="4">
        <v>158.0</v>
      </c>
    </row>
    <row r="34" ht="22.5" customHeight="1">
      <c r="A34" s="3" t="s">
        <v>49</v>
      </c>
      <c r="B34" s="4">
        <v>88.0</v>
      </c>
    </row>
    <row r="35" ht="22.5" customHeight="1">
      <c r="A35" s="3" t="s">
        <v>50</v>
      </c>
      <c r="B35" s="4">
        <v>92.0</v>
      </c>
    </row>
    <row r="36" ht="22.5" customHeight="1">
      <c r="A36" s="3" t="s">
        <v>51</v>
      </c>
      <c r="B36" s="4">
        <v>122.0</v>
      </c>
    </row>
    <row r="37" ht="22.5" customHeight="1">
      <c r="A37" s="3" t="s">
        <v>52</v>
      </c>
      <c r="B37" s="4">
        <v>103.0</v>
      </c>
    </row>
    <row r="38" ht="22.5" customHeight="1">
      <c r="A38" s="3" t="s">
        <v>53</v>
      </c>
      <c r="B38" s="4">
        <v>138.0</v>
      </c>
    </row>
    <row r="39" ht="22.5" customHeight="1">
      <c r="A39" s="3" t="s">
        <v>54</v>
      </c>
      <c r="B39" s="4">
        <v>102.0</v>
      </c>
    </row>
    <row r="40" ht="22.5" customHeight="1">
      <c r="A40" s="3" t="s">
        <v>55</v>
      </c>
      <c r="B40" s="4">
        <v>90.0</v>
      </c>
    </row>
    <row r="41" ht="22.5" customHeight="1">
      <c r="A41" s="3" t="s">
        <v>56</v>
      </c>
      <c r="B41" s="4">
        <v>111.0</v>
      </c>
    </row>
    <row r="42" ht="22.5" customHeight="1">
      <c r="A42" s="3" t="s">
        <v>57</v>
      </c>
      <c r="B42" s="4">
        <v>180.0</v>
      </c>
    </row>
    <row r="43" ht="22.5" customHeight="1">
      <c r="A43" s="3" t="s">
        <v>58</v>
      </c>
      <c r="B43" s="4">
        <v>133.0</v>
      </c>
    </row>
    <row r="44" ht="22.5" customHeight="1">
      <c r="A44" s="3" t="s">
        <v>59</v>
      </c>
      <c r="B44" s="4">
        <v>106.0</v>
      </c>
    </row>
    <row r="45" ht="22.5" customHeight="1">
      <c r="A45" s="3" t="s">
        <v>60</v>
      </c>
      <c r="B45" s="4">
        <v>171.0</v>
      </c>
    </row>
    <row r="46" ht="22.5" customHeight="1">
      <c r="A46" s="3" t="s">
        <v>61</v>
      </c>
      <c r="B46" s="4">
        <v>159.0</v>
      </c>
    </row>
    <row r="47" ht="22.5" customHeight="1">
      <c r="A47" s="3" t="s">
        <v>62</v>
      </c>
      <c r="B47" s="4">
        <v>180.0</v>
      </c>
    </row>
    <row r="48" ht="22.5" customHeight="1">
      <c r="A48" s="3" t="s">
        <v>63</v>
      </c>
      <c r="B48" s="4">
        <v>146.0</v>
      </c>
    </row>
    <row r="49" ht="22.5" customHeight="1">
      <c r="A49" s="3" t="s">
        <v>64</v>
      </c>
      <c r="B49" s="4">
        <v>71.0</v>
      </c>
    </row>
    <row r="50" ht="22.5" customHeight="1">
      <c r="A50" s="3" t="s">
        <v>65</v>
      </c>
      <c r="B50" s="4">
        <v>103.0</v>
      </c>
    </row>
    <row r="51" ht="22.5" customHeight="1">
      <c r="A51" s="3" t="s">
        <v>66</v>
      </c>
      <c r="B51" s="4">
        <v>105.0</v>
      </c>
    </row>
    <row r="52" ht="22.5" customHeight="1">
      <c r="A52" s="3" t="s">
        <v>67</v>
      </c>
      <c r="B52" s="4">
        <v>103.0</v>
      </c>
    </row>
    <row r="53" ht="22.5" customHeight="1">
      <c r="A53" s="3" t="s">
        <v>68</v>
      </c>
      <c r="B53" s="4">
        <v>101.0</v>
      </c>
    </row>
    <row r="54" ht="22.5" customHeight="1">
      <c r="A54" s="3" t="s">
        <v>69</v>
      </c>
      <c r="B54" s="4">
        <v>88.0</v>
      </c>
    </row>
    <row r="55" ht="22.5" customHeight="1">
      <c r="A55" s="3" t="s">
        <v>70</v>
      </c>
      <c r="B55" s="4">
        <v>176.0</v>
      </c>
    </row>
    <row r="56" ht="22.5" customHeight="1">
      <c r="A56" s="3" t="s">
        <v>71</v>
      </c>
      <c r="B56" s="4">
        <v>150.0</v>
      </c>
    </row>
    <row r="57" ht="22.5" customHeight="1">
      <c r="A57" s="3" t="s">
        <v>72</v>
      </c>
      <c r="B57" s="4">
        <v>73.0</v>
      </c>
    </row>
    <row r="58" ht="22.5" customHeight="1">
      <c r="A58" s="3" t="s">
        <v>73</v>
      </c>
      <c r="B58" s="4">
        <v>187.0</v>
      </c>
    </row>
    <row r="59" ht="22.5" customHeight="1">
      <c r="A59" s="3" t="s">
        <v>74</v>
      </c>
      <c r="B59" s="4">
        <v>100.0</v>
      </c>
    </row>
    <row r="60" ht="22.5" customHeight="1">
      <c r="A60" s="3" t="s">
        <v>75</v>
      </c>
      <c r="B60" s="4">
        <v>146.0</v>
      </c>
    </row>
    <row r="61" ht="22.5" customHeight="1">
      <c r="A61" s="3" t="s">
        <v>76</v>
      </c>
      <c r="B61" s="4">
        <v>105.0</v>
      </c>
    </row>
    <row r="62" ht="22.5" customHeight="1">
      <c r="A62" s="3" t="s">
        <v>77</v>
      </c>
      <c r="B62" s="4">
        <v>84.0</v>
      </c>
    </row>
    <row r="63" ht="22.5" customHeight="1">
      <c r="A63" s="3" t="s">
        <v>78</v>
      </c>
      <c r="B63" s="4">
        <v>133.0</v>
      </c>
    </row>
    <row r="64" ht="22.5" customHeight="1">
      <c r="A64" s="3" t="s">
        <v>79</v>
      </c>
      <c r="B64" s="4">
        <v>44.0</v>
      </c>
    </row>
    <row r="65" ht="22.5" customHeight="1">
      <c r="A65" s="3" t="s">
        <v>80</v>
      </c>
      <c r="B65" s="4">
        <v>141.0</v>
      </c>
    </row>
    <row r="66" ht="22.5" customHeight="1">
      <c r="A66" s="3" t="s">
        <v>81</v>
      </c>
      <c r="B66" s="4">
        <v>114.0</v>
      </c>
    </row>
    <row r="67" ht="22.5" customHeight="1">
      <c r="A67" s="3" t="s">
        <v>82</v>
      </c>
      <c r="B67" s="4">
        <v>99.0</v>
      </c>
    </row>
    <row r="68" ht="22.5" customHeight="1">
      <c r="A68" s="3" t="s">
        <v>83</v>
      </c>
      <c r="B68" s="4">
        <v>109.0</v>
      </c>
    </row>
    <row r="69" ht="22.5" customHeight="1">
      <c r="A69" s="3" t="s">
        <v>84</v>
      </c>
      <c r="B69" s="4">
        <v>109.0</v>
      </c>
    </row>
    <row r="70" ht="22.5" customHeight="1">
      <c r="A70" s="3" t="s">
        <v>85</v>
      </c>
      <c r="B70" s="4">
        <v>95.0</v>
      </c>
    </row>
    <row r="71" ht="22.5" customHeight="1">
      <c r="A71" s="3" t="s">
        <v>86</v>
      </c>
      <c r="B71" s="4">
        <v>146.0</v>
      </c>
    </row>
    <row r="72" ht="22.5" customHeight="1">
      <c r="A72" s="3" t="s">
        <v>87</v>
      </c>
      <c r="B72" s="4">
        <v>100.0</v>
      </c>
    </row>
    <row r="73" ht="22.5" customHeight="1">
      <c r="A73" s="3" t="s">
        <v>88</v>
      </c>
      <c r="B73" s="4">
        <v>139.0</v>
      </c>
    </row>
    <row r="74" ht="22.5" customHeight="1">
      <c r="A74" s="3" t="s">
        <v>89</v>
      </c>
      <c r="B74" s="4">
        <v>126.0</v>
      </c>
    </row>
    <row r="75" ht="22.5" customHeight="1">
      <c r="A75" s="3" t="s">
        <v>90</v>
      </c>
      <c r="B75" s="4">
        <v>129.0</v>
      </c>
    </row>
    <row r="76" ht="22.5" customHeight="1">
      <c r="A76" s="3" t="s">
        <v>91</v>
      </c>
      <c r="B76" s="4">
        <v>79.0</v>
      </c>
    </row>
    <row r="77" ht="22.5" customHeight="1">
      <c r="A77" s="3" t="s">
        <v>92</v>
      </c>
      <c r="B77" s="3" t="s">
        <v>26</v>
      </c>
    </row>
    <row r="78" ht="22.5" customHeight="1">
      <c r="A78" s="3" t="s">
        <v>93</v>
      </c>
      <c r="B78" s="4">
        <v>62.0</v>
      </c>
    </row>
    <row r="79" ht="22.5" customHeight="1">
      <c r="A79" s="3" t="s">
        <v>94</v>
      </c>
      <c r="B79" s="4">
        <v>95.0</v>
      </c>
    </row>
    <row r="80" ht="22.5" customHeight="1">
      <c r="A80" s="3" t="s">
        <v>95</v>
      </c>
      <c r="B80" s="4">
        <v>131.0</v>
      </c>
    </row>
    <row r="81" ht="22.5" customHeight="1">
      <c r="A81" s="3" t="s">
        <v>96</v>
      </c>
      <c r="B81" s="4">
        <v>112.0</v>
      </c>
    </row>
    <row r="82" ht="22.5" customHeight="1">
      <c r="A82" s="3" t="s">
        <v>97</v>
      </c>
      <c r="B82" s="4">
        <v>113.0</v>
      </c>
    </row>
    <row r="83" ht="22.5" customHeight="1">
      <c r="A83" s="3" t="s">
        <v>98</v>
      </c>
      <c r="B83" s="4">
        <v>74.0</v>
      </c>
    </row>
    <row r="84" ht="22.5" customHeight="1">
      <c r="A84" s="3" t="s">
        <v>99</v>
      </c>
      <c r="B84" s="4">
        <v>83.0</v>
      </c>
    </row>
    <row r="85" ht="22.5" customHeight="1">
      <c r="A85" s="3" t="s">
        <v>100</v>
      </c>
      <c r="B85" s="4">
        <v>101.0</v>
      </c>
    </row>
    <row r="86" ht="22.5" customHeight="1">
      <c r="A86" s="3" t="s">
        <v>101</v>
      </c>
      <c r="B86" s="4">
        <v>137.0</v>
      </c>
    </row>
    <row r="87" ht="22.5" customHeight="1">
      <c r="A87" s="3" t="s">
        <v>102</v>
      </c>
      <c r="B87" s="4">
        <v>110.0</v>
      </c>
    </row>
    <row r="88" ht="22.5" customHeight="1">
      <c r="A88" s="3" t="s">
        <v>103</v>
      </c>
      <c r="B88" s="4">
        <v>106.0</v>
      </c>
    </row>
    <row r="89" ht="22.5" customHeight="1">
      <c r="A89" s="3" t="s">
        <v>104</v>
      </c>
      <c r="B89" s="4">
        <v>100.0</v>
      </c>
    </row>
    <row r="90" ht="22.5" customHeight="1">
      <c r="A90" s="3" t="s">
        <v>105</v>
      </c>
      <c r="B90" s="4">
        <v>136.0</v>
      </c>
    </row>
    <row r="91" ht="22.5" customHeight="1">
      <c r="A91" s="3" t="s">
        <v>106</v>
      </c>
      <c r="B91" s="4">
        <v>107.0</v>
      </c>
    </row>
    <row r="92" ht="22.5" customHeight="1">
      <c r="A92" s="3" t="s">
        <v>107</v>
      </c>
      <c r="B92" s="4">
        <v>80.0</v>
      </c>
    </row>
    <row r="93" ht="22.5" customHeight="1">
      <c r="A93" s="3" t="s">
        <v>108</v>
      </c>
      <c r="B93" s="4">
        <v>123.0</v>
      </c>
    </row>
    <row r="94" ht="22.5" customHeight="1">
      <c r="A94" s="3" t="s">
        <v>109</v>
      </c>
      <c r="B94" s="4">
        <v>81.0</v>
      </c>
    </row>
    <row r="95" ht="22.5" customHeight="1">
      <c r="A95" s="3" t="s">
        <v>110</v>
      </c>
      <c r="B95" s="4">
        <v>134.0</v>
      </c>
    </row>
    <row r="96" ht="22.5" customHeight="1">
      <c r="A96" s="3" t="s">
        <v>111</v>
      </c>
      <c r="B96" s="4">
        <v>142.0</v>
      </c>
    </row>
    <row r="97" ht="22.5" customHeight="1">
      <c r="A97" s="3" t="s">
        <v>112</v>
      </c>
      <c r="B97" s="4">
        <v>144.0</v>
      </c>
    </row>
    <row r="98" ht="22.5" customHeight="1">
      <c r="A98" s="3" t="s">
        <v>113</v>
      </c>
      <c r="B98" s="4">
        <v>92.0</v>
      </c>
    </row>
    <row r="99" ht="22.5" customHeight="1">
      <c r="A99" s="3" t="s">
        <v>114</v>
      </c>
      <c r="B99" s="4">
        <v>71.0</v>
      </c>
    </row>
    <row r="100" ht="22.5" customHeight="1">
      <c r="A100" s="3" t="s">
        <v>115</v>
      </c>
      <c r="B100" s="4">
        <v>93.0</v>
      </c>
    </row>
    <row r="101" ht="22.5" customHeight="1">
      <c r="A101" s="3" t="s">
        <v>116</v>
      </c>
      <c r="B101" s="4">
        <v>122.0</v>
      </c>
    </row>
    <row r="102" ht="22.5" customHeight="1">
      <c r="A102" s="3" t="s">
        <v>117</v>
      </c>
      <c r="B102" s="4">
        <v>163.0</v>
      </c>
    </row>
    <row r="103" ht="22.5" customHeight="1">
      <c r="A103" s="3" t="s">
        <v>118</v>
      </c>
      <c r="B103" s="4">
        <v>151.0</v>
      </c>
    </row>
    <row r="104" ht="22.5" customHeight="1">
      <c r="A104" s="3" t="s">
        <v>119</v>
      </c>
      <c r="B104" s="4">
        <v>125.0</v>
      </c>
    </row>
    <row r="105" ht="22.5" customHeight="1">
      <c r="A105" s="3" t="s">
        <v>120</v>
      </c>
      <c r="B105" s="4">
        <v>81.0</v>
      </c>
    </row>
    <row r="106" ht="22.5" customHeight="1">
      <c r="A106" s="3" t="s">
        <v>121</v>
      </c>
      <c r="B106" s="4">
        <v>85.0</v>
      </c>
    </row>
    <row r="107" ht="22.5" customHeight="1">
      <c r="A107" s="3" t="s">
        <v>122</v>
      </c>
      <c r="B107" s="4">
        <v>126.0</v>
      </c>
    </row>
    <row r="108" ht="22.5" customHeight="1">
      <c r="A108" s="3" t="s">
        <v>123</v>
      </c>
      <c r="B108" s="4">
        <v>96.0</v>
      </c>
    </row>
    <row r="109" ht="22.5" customHeight="1">
      <c r="A109" s="3" t="s">
        <v>124</v>
      </c>
      <c r="B109" s="4">
        <v>144.0</v>
      </c>
    </row>
    <row r="110" ht="22.5" customHeight="1">
      <c r="A110" s="3" t="s">
        <v>125</v>
      </c>
      <c r="B110" s="4">
        <v>83.0</v>
      </c>
    </row>
    <row r="111" ht="22.5" customHeight="1">
      <c r="A111" s="3" t="s">
        <v>126</v>
      </c>
      <c r="B111" s="4">
        <v>95.0</v>
      </c>
    </row>
    <row r="112" ht="22.5" customHeight="1">
      <c r="A112" s="3" t="s">
        <v>127</v>
      </c>
      <c r="B112" s="4">
        <v>171.0</v>
      </c>
    </row>
    <row r="113" ht="22.5" customHeight="1">
      <c r="A113" s="3" t="s">
        <v>128</v>
      </c>
      <c r="B113" s="4">
        <v>155.0</v>
      </c>
    </row>
    <row r="114" ht="22.5" customHeight="1">
      <c r="A114" s="3" t="s">
        <v>129</v>
      </c>
      <c r="B114" s="4">
        <v>89.0</v>
      </c>
    </row>
    <row r="115" ht="22.5" customHeight="1">
      <c r="A115" s="3" t="s">
        <v>130</v>
      </c>
      <c r="B115" s="4">
        <v>76.0</v>
      </c>
    </row>
    <row r="116" ht="22.5" customHeight="1">
      <c r="A116" s="3" t="s">
        <v>131</v>
      </c>
      <c r="B116" s="4">
        <v>160.0</v>
      </c>
    </row>
    <row r="117" ht="22.5" customHeight="1">
      <c r="A117" s="3" t="s">
        <v>132</v>
      </c>
      <c r="B117" s="4">
        <v>146.0</v>
      </c>
    </row>
    <row r="118" ht="22.5" customHeight="1">
      <c r="A118" s="3" t="s">
        <v>133</v>
      </c>
      <c r="B118" s="4">
        <v>124.0</v>
      </c>
    </row>
    <row r="119" ht="22.5" customHeight="1">
      <c r="A119" s="3" t="s">
        <v>134</v>
      </c>
      <c r="B119" s="4">
        <v>78.0</v>
      </c>
    </row>
    <row r="120" ht="22.5" customHeight="1">
      <c r="A120" s="3" t="s">
        <v>135</v>
      </c>
      <c r="B120" s="4">
        <v>97.0</v>
      </c>
    </row>
    <row r="121" ht="22.5" customHeight="1">
      <c r="A121" s="3" t="s">
        <v>136</v>
      </c>
      <c r="B121" s="4">
        <v>99.0</v>
      </c>
    </row>
    <row r="122" ht="22.5" customHeight="1">
      <c r="A122" s="3" t="s">
        <v>137</v>
      </c>
      <c r="B122" s="4">
        <v>162.0</v>
      </c>
    </row>
    <row r="123" ht="22.5" customHeight="1">
      <c r="A123" s="3" t="s">
        <v>138</v>
      </c>
      <c r="B123" s="4">
        <v>111.0</v>
      </c>
    </row>
    <row r="124" ht="22.5" customHeight="1">
      <c r="A124" s="3" t="s">
        <v>139</v>
      </c>
      <c r="B124" s="4">
        <v>107.0</v>
      </c>
    </row>
    <row r="125" ht="22.5" customHeight="1">
      <c r="A125" s="3" t="s">
        <v>140</v>
      </c>
      <c r="B125" s="4">
        <v>132.0</v>
      </c>
    </row>
    <row r="126" ht="22.5" customHeight="1">
      <c r="A126" s="3" t="s">
        <v>141</v>
      </c>
      <c r="B126" s="4">
        <v>113.0</v>
      </c>
    </row>
    <row r="127" ht="22.5" customHeight="1">
      <c r="A127" s="3" t="s">
        <v>142</v>
      </c>
      <c r="B127" s="4">
        <v>88.0</v>
      </c>
    </row>
    <row r="128" ht="22.5" customHeight="1">
      <c r="A128" s="3" t="s">
        <v>143</v>
      </c>
      <c r="B128" s="4">
        <v>120.0</v>
      </c>
    </row>
    <row r="129" ht="22.5" customHeight="1">
      <c r="A129" s="3" t="s">
        <v>144</v>
      </c>
      <c r="B129" s="4">
        <v>118.0</v>
      </c>
    </row>
    <row r="130" ht="22.5" customHeight="1">
      <c r="A130" s="3" t="s">
        <v>145</v>
      </c>
      <c r="B130" s="4">
        <v>117.0</v>
      </c>
    </row>
    <row r="131" ht="22.5" customHeight="1">
      <c r="A131" s="3" t="s">
        <v>146</v>
      </c>
      <c r="B131" s="4">
        <v>105.0</v>
      </c>
    </row>
    <row r="132" ht="22.5" customHeight="1">
      <c r="A132" s="3" t="s">
        <v>147</v>
      </c>
      <c r="B132" s="4">
        <v>173.0</v>
      </c>
    </row>
    <row r="133" ht="22.5" customHeight="1">
      <c r="A133" s="3" t="s">
        <v>148</v>
      </c>
      <c r="B133" s="4">
        <v>122.0</v>
      </c>
    </row>
    <row r="134" ht="22.5" customHeight="1">
      <c r="A134" s="3" t="s">
        <v>149</v>
      </c>
      <c r="B134" s="4">
        <v>170.0</v>
      </c>
    </row>
    <row r="135" ht="22.5" customHeight="1">
      <c r="A135" s="3" t="s">
        <v>150</v>
      </c>
      <c r="B135" s="4">
        <v>84.0</v>
      </c>
    </row>
    <row r="136" ht="22.5" customHeight="1">
      <c r="A136" s="3" t="s">
        <v>151</v>
      </c>
      <c r="B136" s="4">
        <v>96.0</v>
      </c>
    </row>
    <row r="137" ht="22.5" customHeight="1">
      <c r="A137" s="3" t="s">
        <v>152</v>
      </c>
      <c r="B137" s="4">
        <v>125.0</v>
      </c>
    </row>
    <row r="138" ht="22.5" customHeight="1">
      <c r="A138" s="3" t="s">
        <v>153</v>
      </c>
      <c r="B138" s="4">
        <v>100.0</v>
      </c>
    </row>
    <row r="139" ht="22.5" customHeight="1">
      <c r="A139" s="3" t="s">
        <v>154</v>
      </c>
      <c r="B139" s="4">
        <v>93.0</v>
      </c>
    </row>
    <row r="140" ht="22.5" customHeight="1">
      <c r="A140" s="3" t="s">
        <v>155</v>
      </c>
      <c r="B140" s="4">
        <v>129.0</v>
      </c>
    </row>
    <row r="141" ht="22.5" customHeight="1">
      <c r="A141" s="3" t="s">
        <v>156</v>
      </c>
      <c r="B141" s="4">
        <v>105.0</v>
      </c>
    </row>
    <row r="142" ht="22.5" customHeight="1">
      <c r="A142" s="3" t="s">
        <v>157</v>
      </c>
      <c r="B142" s="4">
        <v>128.0</v>
      </c>
    </row>
    <row r="143" ht="22.5" customHeight="1">
      <c r="A143" s="3" t="s">
        <v>158</v>
      </c>
      <c r="B143" s="4">
        <v>106.0</v>
      </c>
    </row>
    <row r="144" ht="22.5" customHeight="1">
      <c r="A144" s="3" t="s">
        <v>159</v>
      </c>
      <c r="B144" s="4">
        <v>108.0</v>
      </c>
    </row>
    <row r="145" ht="22.5" customHeight="1">
      <c r="A145" s="3" t="s">
        <v>160</v>
      </c>
      <c r="B145" s="4">
        <v>108.0</v>
      </c>
    </row>
    <row r="146" ht="22.5" customHeight="1">
      <c r="A146" s="3" t="s">
        <v>161</v>
      </c>
      <c r="B146" s="4">
        <v>154.0</v>
      </c>
    </row>
    <row r="147" ht="22.5" customHeight="1">
      <c r="A147" s="3" t="s">
        <v>162</v>
      </c>
      <c r="B147" s="4">
        <v>102.0</v>
      </c>
    </row>
    <row r="148" ht="22.5" customHeight="1">
      <c r="A148" s="3" t="s">
        <v>163</v>
      </c>
      <c r="B148" s="4">
        <v>57.0</v>
      </c>
    </row>
    <row r="149" ht="22.5" customHeight="1">
      <c r="A149" s="3" t="s">
        <v>164</v>
      </c>
      <c r="B149" s="4">
        <v>106.0</v>
      </c>
    </row>
    <row r="150" ht="22.5" customHeight="1">
      <c r="A150" s="3" t="s">
        <v>165</v>
      </c>
      <c r="B150" s="4">
        <v>147.0</v>
      </c>
    </row>
    <row r="151" ht="22.5" customHeight="1">
      <c r="A151" s="3" t="s">
        <v>166</v>
      </c>
      <c r="B151" s="4">
        <v>90.0</v>
      </c>
    </row>
    <row r="152" ht="22.5" customHeight="1">
      <c r="A152" s="3" t="s">
        <v>167</v>
      </c>
      <c r="B152" s="4">
        <v>136.0</v>
      </c>
    </row>
    <row r="153" ht="22.5" customHeight="1">
      <c r="A153" s="3" t="s">
        <v>168</v>
      </c>
      <c r="B153" s="4">
        <v>114.0</v>
      </c>
    </row>
    <row r="154" ht="22.5" customHeight="1">
      <c r="A154" s="3" t="s">
        <v>169</v>
      </c>
      <c r="B154" s="4">
        <v>156.0</v>
      </c>
    </row>
    <row r="155" ht="22.5" customHeight="1">
      <c r="A155" s="3" t="s">
        <v>170</v>
      </c>
      <c r="B155" s="4">
        <v>153.0</v>
      </c>
    </row>
    <row r="156" ht="22.5" customHeight="1">
      <c r="A156" s="3" t="s">
        <v>171</v>
      </c>
      <c r="B156" s="4">
        <v>188.0</v>
      </c>
    </row>
    <row r="157" ht="22.5" customHeight="1">
      <c r="A157" s="3" t="s">
        <v>172</v>
      </c>
      <c r="B157" s="4">
        <v>152.0</v>
      </c>
    </row>
    <row r="158" ht="22.5" customHeight="1">
      <c r="A158" s="3" t="s">
        <v>173</v>
      </c>
      <c r="B158" s="4">
        <v>99.0</v>
      </c>
    </row>
    <row r="159" ht="22.5" customHeight="1">
      <c r="A159" s="3" t="s">
        <v>174</v>
      </c>
      <c r="B159" s="4">
        <v>109.0</v>
      </c>
    </row>
    <row r="160" ht="22.5" customHeight="1">
      <c r="A160" s="3" t="s">
        <v>175</v>
      </c>
      <c r="B160" s="4">
        <v>88.0</v>
      </c>
    </row>
    <row r="161" ht="22.5" customHeight="1">
      <c r="A161" s="3" t="s">
        <v>176</v>
      </c>
      <c r="B161" s="4">
        <v>163.0</v>
      </c>
    </row>
    <row r="162" ht="22.5" customHeight="1">
      <c r="A162" s="3" t="s">
        <v>177</v>
      </c>
      <c r="B162" s="4">
        <v>151.0</v>
      </c>
    </row>
    <row r="163" ht="22.5" customHeight="1">
      <c r="A163" s="3" t="s">
        <v>178</v>
      </c>
      <c r="B163" s="4">
        <v>102.0</v>
      </c>
    </row>
    <row r="164" ht="22.5" customHeight="1">
      <c r="A164" s="3" t="s">
        <v>179</v>
      </c>
      <c r="B164" s="4">
        <v>114.0</v>
      </c>
    </row>
    <row r="165" ht="22.5" customHeight="1">
      <c r="A165" s="3" t="s">
        <v>180</v>
      </c>
      <c r="B165" s="4">
        <v>100.0</v>
      </c>
    </row>
    <row r="166" ht="22.5" customHeight="1">
      <c r="A166" s="3" t="s">
        <v>181</v>
      </c>
      <c r="B166" s="4">
        <v>131.0</v>
      </c>
    </row>
    <row r="167" ht="22.5" customHeight="1">
      <c r="A167" s="3" t="s">
        <v>182</v>
      </c>
      <c r="B167" s="4">
        <v>104.0</v>
      </c>
    </row>
    <row r="168" ht="22.5" customHeight="1">
      <c r="A168" s="3" t="s">
        <v>183</v>
      </c>
      <c r="B168" s="4">
        <v>148.0</v>
      </c>
    </row>
    <row r="169" ht="22.5" customHeight="1">
      <c r="A169" s="3" t="s">
        <v>184</v>
      </c>
      <c r="B169" s="4">
        <v>120.0</v>
      </c>
    </row>
    <row r="170" ht="22.5" customHeight="1">
      <c r="A170" s="3" t="s">
        <v>185</v>
      </c>
      <c r="B170" s="4">
        <v>110.0</v>
      </c>
    </row>
    <row r="171" ht="22.5" customHeight="1">
      <c r="A171" s="3" t="s">
        <v>186</v>
      </c>
      <c r="B171" s="4">
        <v>111.0</v>
      </c>
    </row>
    <row r="172" ht="22.5" customHeight="1">
      <c r="A172" s="3" t="s">
        <v>187</v>
      </c>
      <c r="B172" s="4">
        <v>102.0</v>
      </c>
    </row>
    <row r="173" ht="22.5" customHeight="1">
      <c r="A173" s="3" t="s">
        <v>188</v>
      </c>
      <c r="B173" s="4">
        <v>134.0</v>
      </c>
    </row>
    <row r="174" ht="22.5" customHeight="1">
      <c r="A174" s="3" t="s">
        <v>189</v>
      </c>
      <c r="B174" s="4">
        <v>87.0</v>
      </c>
    </row>
    <row r="175" ht="22.5" customHeight="1">
      <c r="A175" s="3" t="s">
        <v>190</v>
      </c>
      <c r="B175" s="4">
        <v>79.0</v>
      </c>
    </row>
    <row r="176" ht="22.5" customHeight="1">
      <c r="A176" s="3" t="s">
        <v>191</v>
      </c>
      <c r="B176" s="4">
        <v>75.0</v>
      </c>
    </row>
    <row r="177" ht="22.5" customHeight="1">
      <c r="A177" s="3" t="s">
        <v>192</v>
      </c>
      <c r="B177" s="4">
        <v>179.0</v>
      </c>
    </row>
    <row r="178" ht="22.5" customHeight="1">
      <c r="A178" s="3" t="s">
        <v>193</v>
      </c>
      <c r="B178" s="4">
        <v>85.0</v>
      </c>
    </row>
    <row r="179" ht="22.5" customHeight="1">
      <c r="A179" s="3" t="s">
        <v>194</v>
      </c>
      <c r="B179" s="4">
        <v>129.0</v>
      </c>
    </row>
    <row r="180" ht="22.5" customHeight="1">
      <c r="A180" s="3" t="s">
        <v>195</v>
      </c>
      <c r="B180" s="4">
        <v>143.0</v>
      </c>
    </row>
    <row r="181" ht="22.5" customHeight="1">
      <c r="A181" s="3" t="s">
        <v>196</v>
      </c>
      <c r="B181" s="4">
        <v>130.0</v>
      </c>
    </row>
    <row r="182" ht="22.5" customHeight="1">
      <c r="A182" s="3" t="s">
        <v>197</v>
      </c>
      <c r="B182" s="4">
        <v>87.0</v>
      </c>
    </row>
    <row r="183" ht="22.5" customHeight="1">
      <c r="A183" s="3" t="s">
        <v>198</v>
      </c>
      <c r="B183" s="4">
        <v>119.0</v>
      </c>
    </row>
    <row r="184" ht="22.5" customHeight="1">
      <c r="A184" s="3" t="s">
        <v>199</v>
      </c>
      <c r="B184" s="3" t="s">
        <v>26</v>
      </c>
    </row>
    <row r="185" ht="22.5" customHeight="1">
      <c r="A185" s="3" t="s">
        <v>200</v>
      </c>
      <c r="B185" s="4">
        <v>73.0</v>
      </c>
    </row>
    <row r="186" ht="22.5" customHeight="1">
      <c r="A186" s="3" t="s">
        <v>201</v>
      </c>
      <c r="B186" s="4">
        <v>141.0</v>
      </c>
    </row>
    <row r="187" ht="22.5" customHeight="1">
      <c r="A187" s="3" t="s">
        <v>202</v>
      </c>
      <c r="B187" s="4">
        <v>194.0</v>
      </c>
    </row>
    <row r="188" ht="22.5" customHeight="1">
      <c r="A188" s="3" t="s">
        <v>203</v>
      </c>
      <c r="B188" s="4">
        <v>181.0</v>
      </c>
    </row>
    <row r="189" ht="22.5" customHeight="1">
      <c r="A189" s="3" t="s">
        <v>204</v>
      </c>
      <c r="B189" s="4">
        <v>128.0</v>
      </c>
    </row>
    <row r="190" ht="22.5" customHeight="1">
      <c r="A190" s="3" t="s">
        <v>205</v>
      </c>
      <c r="B190" s="4">
        <v>109.0</v>
      </c>
    </row>
    <row r="191" ht="22.5" customHeight="1">
      <c r="A191" s="3" t="s">
        <v>206</v>
      </c>
      <c r="B191" s="4">
        <v>139.0</v>
      </c>
    </row>
    <row r="192" ht="22.5" customHeight="1">
      <c r="A192" s="3" t="s">
        <v>207</v>
      </c>
      <c r="B192" s="4">
        <v>111.0</v>
      </c>
    </row>
    <row r="193" ht="22.5" customHeight="1">
      <c r="A193" s="3" t="s">
        <v>208</v>
      </c>
      <c r="B193" s="4">
        <v>123.0</v>
      </c>
    </row>
    <row r="194" ht="22.5" customHeight="1">
      <c r="A194" s="3" t="s">
        <v>209</v>
      </c>
      <c r="B194" s="4">
        <v>159.0</v>
      </c>
    </row>
    <row r="195" ht="22.5" customHeight="1">
      <c r="A195" s="3" t="s">
        <v>210</v>
      </c>
      <c r="B195" s="4">
        <v>135.0</v>
      </c>
    </row>
    <row r="196" ht="22.5" customHeight="1">
      <c r="A196" s="3" t="s">
        <v>211</v>
      </c>
      <c r="B196" s="4">
        <v>85.0</v>
      </c>
    </row>
    <row r="197" ht="22.5" customHeight="1">
      <c r="A197" s="3" t="s">
        <v>212</v>
      </c>
      <c r="B197" s="4">
        <v>158.0</v>
      </c>
    </row>
    <row r="198" ht="22.5" customHeight="1">
      <c r="A198" s="3" t="s">
        <v>213</v>
      </c>
      <c r="B198" s="4">
        <v>105.0</v>
      </c>
    </row>
    <row r="199" ht="22.5" customHeight="1">
      <c r="A199" s="3" t="s">
        <v>214</v>
      </c>
      <c r="B199" s="4">
        <v>107.0</v>
      </c>
    </row>
    <row r="200" ht="22.5" customHeight="1">
      <c r="A200" s="3" t="s">
        <v>215</v>
      </c>
      <c r="B200" s="4">
        <v>109.0</v>
      </c>
    </row>
    <row r="201" ht="22.5" customHeight="1">
      <c r="A201" s="3" t="s">
        <v>216</v>
      </c>
      <c r="B201" s="4">
        <v>148.0</v>
      </c>
    </row>
    <row r="202" ht="22.5" customHeight="1">
      <c r="A202" s="3" t="s">
        <v>217</v>
      </c>
      <c r="B202" s="4">
        <v>113.0</v>
      </c>
    </row>
    <row r="203" ht="22.5" customHeight="1">
      <c r="A203" s="3" t="s">
        <v>218</v>
      </c>
      <c r="B203" s="4">
        <v>138.0</v>
      </c>
    </row>
    <row r="204" ht="22.5" customHeight="1">
      <c r="A204" s="3" t="s">
        <v>219</v>
      </c>
      <c r="B204" s="4">
        <v>108.0</v>
      </c>
    </row>
    <row r="205" ht="22.5" customHeight="1">
      <c r="A205" s="3" t="s">
        <v>220</v>
      </c>
      <c r="B205" s="4">
        <v>99.0</v>
      </c>
    </row>
    <row r="206" ht="22.5" customHeight="1">
      <c r="A206" s="3" t="s">
        <v>221</v>
      </c>
      <c r="B206" s="4">
        <v>103.0</v>
      </c>
    </row>
    <row r="207" ht="22.5" customHeight="1">
      <c r="A207" s="3" t="s">
        <v>222</v>
      </c>
      <c r="B207" s="4">
        <v>111.0</v>
      </c>
    </row>
    <row r="208" ht="22.5" customHeight="1">
      <c r="A208" s="3" t="s">
        <v>223</v>
      </c>
      <c r="B208" s="4">
        <v>196.0</v>
      </c>
    </row>
    <row r="209" ht="22.5" customHeight="1">
      <c r="A209" s="3" t="s">
        <v>224</v>
      </c>
      <c r="B209" s="4">
        <v>162.0</v>
      </c>
    </row>
    <row r="210" ht="22.5" customHeight="1">
      <c r="A210" s="3" t="s">
        <v>225</v>
      </c>
      <c r="B210" s="4">
        <v>96.0</v>
      </c>
    </row>
    <row r="211" ht="22.5" customHeight="1">
      <c r="A211" s="3" t="s">
        <v>226</v>
      </c>
      <c r="B211" s="4">
        <v>184.0</v>
      </c>
    </row>
    <row r="212" ht="22.5" customHeight="1">
      <c r="A212" s="3" t="s">
        <v>227</v>
      </c>
      <c r="B212" s="4">
        <v>81.0</v>
      </c>
    </row>
    <row r="213" ht="22.5" customHeight="1">
      <c r="A213" s="3" t="s">
        <v>228</v>
      </c>
      <c r="B213" s="4">
        <v>147.0</v>
      </c>
    </row>
    <row r="214" ht="22.5" customHeight="1">
      <c r="A214" s="3" t="s">
        <v>229</v>
      </c>
      <c r="B214" s="4">
        <v>179.0</v>
      </c>
    </row>
    <row r="215" ht="22.5" customHeight="1">
      <c r="A215" s="3" t="s">
        <v>230</v>
      </c>
      <c r="B215" s="4">
        <v>140.0</v>
      </c>
    </row>
    <row r="216" ht="22.5" customHeight="1">
      <c r="A216" s="3" t="s">
        <v>231</v>
      </c>
      <c r="B216" s="4">
        <v>112.0</v>
      </c>
    </row>
    <row r="217" ht="22.5" customHeight="1">
      <c r="A217" s="3" t="s">
        <v>232</v>
      </c>
      <c r="B217" s="4">
        <v>151.0</v>
      </c>
    </row>
    <row r="218" ht="22.5" customHeight="1">
      <c r="A218" s="3" t="s">
        <v>233</v>
      </c>
      <c r="B218" s="4">
        <v>109.0</v>
      </c>
    </row>
    <row r="219" ht="22.5" customHeight="1">
      <c r="A219" s="3" t="s">
        <v>234</v>
      </c>
      <c r="B219" s="4">
        <v>125.0</v>
      </c>
    </row>
    <row r="220" ht="22.5" customHeight="1">
      <c r="A220" s="3" t="s">
        <v>235</v>
      </c>
      <c r="B220" s="4">
        <v>85.0</v>
      </c>
    </row>
    <row r="221" ht="22.5" customHeight="1">
      <c r="A221" s="3" t="s">
        <v>236</v>
      </c>
      <c r="B221" s="4">
        <v>112.0</v>
      </c>
    </row>
    <row r="222" ht="22.5" customHeight="1">
      <c r="A222" s="3" t="s">
        <v>237</v>
      </c>
      <c r="B222" s="4">
        <v>177.0</v>
      </c>
    </row>
    <row r="223" ht="22.5" customHeight="1">
      <c r="A223" s="3" t="s">
        <v>238</v>
      </c>
      <c r="B223" s="4">
        <v>158.0</v>
      </c>
    </row>
    <row r="224" ht="22.5" customHeight="1">
      <c r="A224" s="3" t="s">
        <v>239</v>
      </c>
      <c r="B224" s="4">
        <v>119.0</v>
      </c>
    </row>
    <row r="225" ht="22.5" customHeight="1">
      <c r="A225" s="3" t="s">
        <v>240</v>
      </c>
      <c r="B225" s="4">
        <v>142.0</v>
      </c>
    </row>
    <row r="226" ht="22.5" customHeight="1">
      <c r="A226" s="3" t="s">
        <v>241</v>
      </c>
      <c r="B226" s="4">
        <v>100.0</v>
      </c>
    </row>
    <row r="227" ht="22.5" customHeight="1">
      <c r="A227" s="3" t="s">
        <v>242</v>
      </c>
      <c r="B227" s="4">
        <v>87.0</v>
      </c>
    </row>
    <row r="228" ht="22.5" customHeight="1">
      <c r="A228" s="3" t="s">
        <v>243</v>
      </c>
      <c r="B228" s="4">
        <v>101.0</v>
      </c>
    </row>
    <row r="229" ht="22.5" customHeight="1">
      <c r="A229" s="3" t="s">
        <v>244</v>
      </c>
      <c r="B229" s="4">
        <v>162.0</v>
      </c>
    </row>
    <row r="230" ht="22.5" customHeight="1">
      <c r="A230" s="3" t="s">
        <v>245</v>
      </c>
      <c r="B230" s="4">
        <v>197.0</v>
      </c>
    </row>
    <row r="231" ht="22.5" customHeight="1">
      <c r="A231" s="3" t="s">
        <v>246</v>
      </c>
      <c r="B231" s="4">
        <v>117.0</v>
      </c>
    </row>
    <row r="232" ht="22.5" customHeight="1">
      <c r="A232" s="3" t="s">
        <v>247</v>
      </c>
      <c r="B232" s="4">
        <v>142.0</v>
      </c>
    </row>
    <row r="233" ht="22.5" customHeight="1">
      <c r="A233" s="3" t="s">
        <v>248</v>
      </c>
      <c r="B233" s="4">
        <v>134.0</v>
      </c>
    </row>
    <row r="234" ht="22.5" customHeight="1">
      <c r="A234" s="3" t="s">
        <v>249</v>
      </c>
      <c r="B234" s="4">
        <v>79.0</v>
      </c>
    </row>
    <row r="235" ht="22.5" customHeight="1">
      <c r="A235" s="3" t="s">
        <v>250</v>
      </c>
      <c r="B235" s="4">
        <v>122.0</v>
      </c>
    </row>
    <row r="236" ht="22.5" customHeight="1">
      <c r="A236" s="3" t="s">
        <v>251</v>
      </c>
      <c r="B236" s="4">
        <v>74.0</v>
      </c>
    </row>
    <row r="237" ht="22.5" customHeight="1">
      <c r="A237" s="3" t="s">
        <v>252</v>
      </c>
      <c r="B237" s="4">
        <v>171.0</v>
      </c>
    </row>
    <row r="238" ht="22.5" customHeight="1">
      <c r="A238" s="3" t="s">
        <v>253</v>
      </c>
      <c r="B238" s="4">
        <v>181.0</v>
      </c>
    </row>
    <row r="239" ht="22.5" customHeight="1">
      <c r="A239" s="3" t="s">
        <v>254</v>
      </c>
      <c r="B239" s="4">
        <v>179.0</v>
      </c>
    </row>
    <row r="240" ht="22.5" customHeight="1">
      <c r="A240" s="3" t="s">
        <v>255</v>
      </c>
      <c r="B240" s="4">
        <v>164.0</v>
      </c>
    </row>
    <row r="241" ht="22.5" customHeight="1">
      <c r="A241" s="3" t="s">
        <v>256</v>
      </c>
      <c r="B241" s="4">
        <v>104.0</v>
      </c>
    </row>
    <row r="242" ht="22.5" customHeight="1">
      <c r="A242" s="3" t="s">
        <v>257</v>
      </c>
      <c r="B242" s="4">
        <v>91.0</v>
      </c>
    </row>
    <row r="243" ht="22.5" customHeight="1">
      <c r="A243" s="3" t="s">
        <v>258</v>
      </c>
      <c r="B243" s="4">
        <v>91.0</v>
      </c>
    </row>
    <row r="244" ht="22.5" customHeight="1">
      <c r="A244" s="3" t="s">
        <v>259</v>
      </c>
      <c r="B244" s="4">
        <v>139.0</v>
      </c>
    </row>
    <row r="245" ht="22.5" customHeight="1">
      <c r="A245" s="3" t="s">
        <v>260</v>
      </c>
      <c r="B245" s="4">
        <v>119.0</v>
      </c>
    </row>
    <row r="246" ht="22.5" customHeight="1">
      <c r="A246" s="3" t="s">
        <v>261</v>
      </c>
      <c r="B246" s="4">
        <v>146.0</v>
      </c>
    </row>
    <row r="247" ht="22.5" customHeight="1">
      <c r="A247" s="3" t="s">
        <v>262</v>
      </c>
      <c r="B247" s="4">
        <v>184.0</v>
      </c>
    </row>
    <row r="248" ht="22.5" customHeight="1">
      <c r="A248" s="3" t="s">
        <v>263</v>
      </c>
      <c r="B248" s="4">
        <v>122.0</v>
      </c>
    </row>
    <row r="249" ht="22.5" customHeight="1">
      <c r="A249" s="3" t="s">
        <v>264</v>
      </c>
      <c r="B249" s="4">
        <v>165.0</v>
      </c>
    </row>
    <row r="250" ht="22.5" customHeight="1">
      <c r="A250" s="3" t="s">
        <v>265</v>
      </c>
      <c r="B250" s="4">
        <v>124.0</v>
      </c>
    </row>
    <row r="251" ht="22.5" customHeight="1">
      <c r="A251" s="3" t="s">
        <v>266</v>
      </c>
      <c r="B251" s="4">
        <v>111.0</v>
      </c>
    </row>
    <row r="252" ht="22.5" customHeight="1">
      <c r="A252" s="3" t="s">
        <v>267</v>
      </c>
      <c r="B252" s="4">
        <v>106.0</v>
      </c>
    </row>
    <row r="253" ht="22.5" customHeight="1">
      <c r="A253" s="3" t="s">
        <v>268</v>
      </c>
      <c r="B253" s="4">
        <v>129.0</v>
      </c>
    </row>
    <row r="254" ht="22.5" customHeight="1">
      <c r="A254" s="3" t="s">
        <v>269</v>
      </c>
      <c r="B254" s="4">
        <v>90.0</v>
      </c>
    </row>
    <row r="255" ht="22.5" customHeight="1">
      <c r="A255" s="3" t="s">
        <v>270</v>
      </c>
      <c r="B255" s="4">
        <v>86.0</v>
      </c>
    </row>
    <row r="256" ht="22.5" customHeight="1">
      <c r="A256" s="3" t="s">
        <v>271</v>
      </c>
      <c r="B256" s="4">
        <v>92.0</v>
      </c>
    </row>
    <row r="257" ht="22.5" customHeight="1">
      <c r="A257" s="3" t="s">
        <v>272</v>
      </c>
      <c r="B257" s="4">
        <v>113.0</v>
      </c>
    </row>
    <row r="258" ht="22.5" customHeight="1">
      <c r="A258" s="3" t="s">
        <v>273</v>
      </c>
      <c r="B258" s="4">
        <v>111.0</v>
      </c>
    </row>
    <row r="259" ht="22.5" customHeight="1">
      <c r="A259" s="3" t="s">
        <v>274</v>
      </c>
      <c r="B259" s="4">
        <v>114.0</v>
      </c>
    </row>
    <row r="260" ht="22.5" customHeight="1">
      <c r="A260" s="3" t="s">
        <v>275</v>
      </c>
      <c r="B260" s="4">
        <v>193.0</v>
      </c>
    </row>
    <row r="261" ht="22.5" customHeight="1">
      <c r="A261" s="3" t="s">
        <v>276</v>
      </c>
      <c r="B261" s="4">
        <v>155.0</v>
      </c>
    </row>
    <row r="262" ht="22.5" customHeight="1">
      <c r="A262" s="3" t="s">
        <v>277</v>
      </c>
      <c r="B262" s="4">
        <v>191.0</v>
      </c>
    </row>
    <row r="263" ht="22.5" customHeight="1">
      <c r="A263" s="3" t="s">
        <v>278</v>
      </c>
      <c r="B263" s="4">
        <v>141.0</v>
      </c>
    </row>
    <row r="264" ht="22.5" customHeight="1">
      <c r="A264" s="3" t="s">
        <v>279</v>
      </c>
      <c r="B264" s="4">
        <v>95.0</v>
      </c>
    </row>
    <row r="265" ht="22.5" customHeight="1">
      <c r="A265" s="3" t="s">
        <v>280</v>
      </c>
      <c r="B265" s="4">
        <v>142.0</v>
      </c>
    </row>
    <row r="266" ht="22.5" customHeight="1">
      <c r="A266" s="3" t="s">
        <v>281</v>
      </c>
      <c r="B266" s="4">
        <v>123.0</v>
      </c>
    </row>
    <row r="267" ht="22.5" customHeight="1">
      <c r="A267" s="3" t="s">
        <v>282</v>
      </c>
      <c r="B267" s="4">
        <v>96.0</v>
      </c>
    </row>
    <row r="268" ht="22.5" customHeight="1">
      <c r="A268" s="3" t="s">
        <v>283</v>
      </c>
      <c r="B268" s="4">
        <v>138.0</v>
      </c>
    </row>
    <row r="269" ht="22.5" customHeight="1">
      <c r="A269" s="3" t="s">
        <v>284</v>
      </c>
      <c r="B269" s="4">
        <v>128.0</v>
      </c>
    </row>
    <row r="270" ht="22.5" customHeight="1">
      <c r="A270" s="3" t="s">
        <v>285</v>
      </c>
      <c r="B270" s="4">
        <v>102.0</v>
      </c>
    </row>
    <row r="271" ht="22.5" customHeight="1">
      <c r="A271" s="3" t="s">
        <v>286</v>
      </c>
      <c r="B271" s="4">
        <v>146.0</v>
      </c>
    </row>
    <row r="272" ht="22.5" customHeight="1">
      <c r="A272" s="3" t="s">
        <v>287</v>
      </c>
      <c r="B272" s="4">
        <v>101.0</v>
      </c>
    </row>
    <row r="273" ht="22.5" customHeight="1">
      <c r="A273" s="3" t="s">
        <v>288</v>
      </c>
      <c r="B273" s="4">
        <v>108.0</v>
      </c>
    </row>
    <row r="274" ht="22.5" customHeight="1">
      <c r="A274" s="3" t="s">
        <v>289</v>
      </c>
      <c r="B274" s="4">
        <v>122.0</v>
      </c>
    </row>
    <row r="275" ht="22.5" customHeight="1">
      <c r="A275" s="3" t="s">
        <v>290</v>
      </c>
      <c r="B275" s="4">
        <v>71.0</v>
      </c>
    </row>
    <row r="276" ht="22.5" customHeight="1">
      <c r="A276" s="3" t="s">
        <v>291</v>
      </c>
      <c r="B276" s="4">
        <v>106.0</v>
      </c>
    </row>
    <row r="277" ht="22.5" customHeight="1">
      <c r="A277" s="3" t="s">
        <v>292</v>
      </c>
      <c r="B277" s="4">
        <v>100.0</v>
      </c>
    </row>
    <row r="278" ht="22.5" customHeight="1">
      <c r="A278" s="3" t="s">
        <v>293</v>
      </c>
      <c r="B278" s="4">
        <v>106.0</v>
      </c>
    </row>
    <row r="279" ht="22.5" customHeight="1">
      <c r="A279" s="3" t="s">
        <v>294</v>
      </c>
      <c r="B279" s="4">
        <v>104.0</v>
      </c>
    </row>
    <row r="280" ht="22.5" customHeight="1">
      <c r="A280" s="3" t="s">
        <v>295</v>
      </c>
      <c r="B280" s="4">
        <v>114.0</v>
      </c>
    </row>
    <row r="281" ht="22.5" customHeight="1">
      <c r="A281" s="3" t="s">
        <v>296</v>
      </c>
      <c r="B281" s="4">
        <v>108.0</v>
      </c>
    </row>
    <row r="282" ht="22.5" customHeight="1">
      <c r="A282" s="3" t="s">
        <v>297</v>
      </c>
      <c r="B282" s="4">
        <v>146.0</v>
      </c>
    </row>
    <row r="283" ht="22.5" customHeight="1">
      <c r="A283" s="3" t="s">
        <v>298</v>
      </c>
      <c r="B283" s="4">
        <v>129.0</v>
      </c>
    </row>
    <row r="284" ht="22.5" customHeight="1">
      <c r="A284" s="3" t="s">
        <v>299</v>
      </c>
      <c r="B284" s="4">
        <v>133.0</v>
      </c>
    </row>
    <row r="285" ht="22.5" customHeight="1">
      <c r="A285" s="3" t="s">
        <v>300</v>
      </c>
      <c r="B285" s="4">
        <v>161.0</v>
      </c>
    </row>
    <row r="286" ht="22.5" customHeight="1">
      <c r="A286" s="3" t="s">
        <v>301</v>
      </c>
      <c r="B286" s="4">
        <v>108.0</v>
      </c>
    </row>
    <row r="287" ht="22.5" customHeight="1">
      <c r="A287" s="3" t="s">
        <v>302</v>
      </c>
      <c r="B287" s="4">
        <v>136.0</v>
      </c>
    </row>
    <row r="288" ht="22.5" customHeight="1">
      <c r="A288" s="3" t="s">
        <v>303</v>
      </c>
      <c r="B288" s="4">
        <v>155.0</v>
      </c>
    </row>
    <row r="289" ht="22.5" customHeight="1">
      <c r="A289" s="3" t="s">
        <v>304</v>
      </c>
      <c r="B289" s="4">
        <v>119.0</v>
      </c>
    </row>
    <row r="290" ht="22.5" customHeight="1">
      <c r="A290" s="3" t="s">
        <v>305</v>
      </c>
      <c r="B290" s="4">
        <v>96.0</v>
      </c>
    </row>
    <row r="291" ht="22.5" customHeight="1">
      <c r="A291" s="3" t="s">
        <v>306</v>
      </c>
      <c r="B291" s="4">
        <v>108.0</v>
      </c>
    </row>
    <row r="292" ht="22.5" customHeight="1">
      <c r="A292" s="3" t="s">
        <v>307</v>
      </c>
      <c r="B292" s="4">
        <v>78.0</v>
      </c>
    </row>
    <row r="293" ht="22.5" customHeight="1">
      <c r="A293" s="3" t="s">
        <v>308</v>
      </c>
      <c r="B293" s="4">
        <v>107.0</v>
      </c>
    </row>
    <row r="294" ht="22.5" customHeight="1">
      <c r="A294" s="3" t="s">
        <v>309</v>
      </c>
      <c r="B294" s="4">
        <v>128.0</v>
      </c>
    </row>
    <row r="295" ht="22.5" customHeight="1">
      <c r="A295" s="3" t="s">
        <v>310</v>
      </c>
      <c r="B295" s="4">
        <v>128.0</v>
      </c>
    </row>
    <row r="296" ht="22.5" customHeight="1">
      <c r="A296" s="3" t="s">
        <v>311</v>
      </c>
      <c r="B296" s="4">
        <v>161.0</v>
      </c>
    </row>
    <row r="297" ht="22.5" customHeight="1">
      <c r="A297" s="3" t="s">
        <v>312</v>
      </c>
      <c r="B297" s="4">
        <v>151.0</v>
      </c>
    </row>
    <row r="298" ht="22.5" customHeight="1">
      <c r="A298" s="3" t="s">
        <v>313</v>
      </c>
      <c r="B298" s="4">
        <v>146.0</v>
      </c>
    </row>
    <row r="299" ht="22.5" customHeight="1">
      <c r="A299" s="3" t="s">
        <v>314</v>
      </c>
      <c r="B299" s="4">
        <v>126.0</v>
      </c>
    </row>
    <row r="300" ht="22.5" customHeight="1">
      <c r="A300" s="3" t="s">
        <v>315</v>
      </c>
      <c r="B300" s="4">
        <v>100.0</v>
      </c>
    </row>
    <row r="301" ht="22.5" customHeight="1">
      <c r="A301" s="3" t="s">
        <v>316</v>
      </c>
      <c r="B301" s="4">
        <v>112.0</v>
      </c>
    </row>
    <row r="302" ht="22.5" customHeight="1">
      <c r="A302" s="3" t="s">
        <v>317</v>
      </c>
      <c r="B302" s="4">
        <v>167.0</v>
      </c>
    </row>
    <row r="303" ht="22.5" customHeight="1">
      <c r="A303" s="3" t="s">
        <v>318</v>
      </c>
      <c r="B303" s="4">
        <v>144.0</v>
      </c>
    </row>
    <row r="304" ht="22.5" customHeight="1">
      <c r="A304" s="3" t="s">
        <v>319</v>
      </c>
      <c r="B304" s="4">
        <v>77.0</v>
      </c>
    </row>
    <row r="305" ht="22.5" customHeight="1">
      <c r="A305" s="3" t="s">
        <v>320</v>
      </c>
      <c r="B305" s="4">
        <v>115.0</v>
      </c>
    </row>
    <row r="306" ht="22.5" customHeight="1">
      <c r="A306" s="3" t="s">
        <v>321</v>
      </c>
      <c r="B306" s="4">
        <v>150.0</v>
      </c>
    </row>
    <row r="307" ht="22.5" customHeight="1">
      <c r="A307" s="3" t="s">
        <v>322</v>
      </c>
      <c r="B307" s="4">
        <v>120.0</v>
      </c>
    </row>
    <row r="308" ht="22.5" customHeight="1">
      <c r="A308" s="3" t="s">
        <v>323</v>
      </c>
      <c r="B308" s="4">
        <v>161.0</v>
      </c>
    </row>
    <row r="309" ht="22.5" customHeight="1">
      <c r="A309" s="3" t="s">
        <v>324</v>
      </c>
      <c r="B309" s="4">
        <v>137.0</v>
      </c>
    </row>
    <row r="310" ht="22.5" customHeight="1">
      <c r="A310" s="3" t="s">
        <v>325</v>
      </c>
      <c r="B310" s="4">
        <v>128.0</v>
      </c>
    </row>
    <row r="311" ht="22.5" customHeight="1">
      <c r="A311" s="3" t="s">
        <v>326</v>
      </c>
      <c r="B311" s="4">
        <v>124.0</v>
      </c>
    </row>
    <row r="312" ht="22.5" customHeight="1">
      <c r="A312" s="3" t="s">
        <v>327</v>
      </c>
      <c r="B312" s="4">
        <v>80.0</v>
      </c>
    </row>
    <row r="313" ht="22.5" customHeight="1">
      <c r="A313" s="3" t="s">
        <v>328</v>
      </c>
      <c r="B313" s="4">
        <v>106.0</v>
      </c>
    </row>
    <row r="314" ht="22.5" customHeight="1">
      <c r="A314" s="3" t="s">
        <v>329</v>
      </c>
      <c r="B314" s="4">
        <v>155.0</v>
      </c>
    </row>
    <row r="315" ht="22.5" customHeight="1">
      <c r="A315" s="3" t="s">
        <v>330</v>
      </c>
      <c r="B315" s="4">
        <v>113.0</v>
      </c>
    </row>
    <row r="316" ht="22.5" customHeight="1">
      <c r="A316" s="3" t="s">
        <v>331</v>
      </c>
      <c r="B316" s="4">
        <v>109.0</v>
      </c>
    </row>
    <row r="317" ht="22.5" customHeight="1">
      <c r="A317" s="3" t="s">
        <v>332</v>
      </c>
      <c r="B317" s="4">
        <v>112.0</v>
      </c>
    </row>
    <row r="318" ht="22.5" customHeight="1">
      <c r="A318" s="3" t="s">
        <v>333</v>
      </c>
      <c r="B318" s="4">
        <v>99.0</v>
      </c>
    </row>
    <row r="319" ht="22.5" customHeight="1">
      <c r="A319" s="3" t="s">
        <v>334</v>
      </c>
      <c r="B319" s="4">
        <v>182.0</v>
      </c>
    </row>
    <row r="320" ht="22.5" customHeight="1">
      <c r="A320" s="3" t="s">
        <v>335</v>
      </c>
      <c r="B320" s="4">
        <v>115.0</v>
      </c>
    </row>
    <row r="321" ht="22.5" customHeight="1">
      <c r="A321" s="3" t="s">
        <v>336</v>
      </c>
      <c r="B321" s="4">
        <v>194.0</v>
      </c>
    </row>
    <row r="322" ht="22.5" customHeight="1">
      <c r="A322" s="3" t="s">
        <v>337</v>
      </c>
      <c r="B322" s="4">
        <v>129.0</v>
      </c>
    </row>
    <row r="323" ht="22.5" customHeight="1">
      <c r="A323" s="3" t="s">
        <v>338</v>
      </c>
      <c r="B323" s="4">
        <v>112.0</v>
      </c>
    </row>
    <row r="324" ht="22.5" customHeight="1">
      <c r="A324" s="3" t="s">
        <v>339</v>
      </c>
      <c r="B324" s="4">
        <v>124.0</v>
      </c>
    </row>
    <row r="325" ht="22.5" customHeight="1">
      <c r="A325" s="3" t="s">
        <v>340</v>
      </c>
      <c r="B325" s="4">
        <v>152.0</v>
      </c>
    </row>
    <row r="326" ht="22.5" customHeight="1">
      <c r="A326" s="3" t="s">
        <v>341</v>
      </c>
      <c r="B326" s="4">
        <v>112.0</v>
      </c>
    </row>
    <row r="327" ht="22.5" customHeight="1">
      <c r="A327" s="3" t="s">
        <v>342</v>
      </c>
      <c r="B327" s="4">
        <v>157.0</v>
      </c>
    </row>
    <row r="328" ht="22.5" customHeight="1">
      <c r="A328" s="3" t="s">
        <v>343</v>
      </c>
      <c r="B328" s="4">
        <v>122.0</v>
      </c>
    </row>
    <row r="329" ht="22.5" customHeight="1">
      <c r="A329" s="3" t="s">
        <v>344</v>
      </c>
      <c r="B329" s="4">
        <v>179.0</v>
      </c>
    </row>
    <row r="330" ht="22.5" customHeight="1">
      <c r="A330" s="3" t="s">
        <v>345</v>
      </c>
      <c r="B330" s="4">
        <v>102.0</v>
      </c>
    </row>
    <row r="331" ht="22.5" customHeight="1">
      <c r="A331" s="3" t="s">
        <v>346</v>
      </c>
      <c r="B331" s="4">
        <v>105.0</v>
      </c>
    </row>
    <row r="332" ht="22.5" customHeight="1">
      <c r="A332" s="3" t="s">
        <v>347</v>
      </c>
      <c r="B332" s="4">
        <v>118.0</v>
      </c>
    </row>
    <row r="333" ht="22.5" customHeight="1">
      <c r="A333" s="3" t="s">
        <v>348</v>
      </c>
      <c r="B333" s="4">
        <v>87.0</v>
      </c>
    </row>
    <row r="334" ht="22.5" customHeight="1">
      <c r="A334" s="3" t="s">
        <v>349</v>
      </c>
      <c r="B334" s="4">
        <v>180.0</v>
      </c>
    </row>
    <row r="335" ht="22.5" customHeight="1">
      <c r="A335" s="3" t="s">
        <v>350</v>
      </c>
      <c r="B335" s="4">
        <v>106.0</v>
      </c>
    </row>
    <row r="336" ht="22.5" customHeight="1">
      <c r="A336" s="3" t="s">
        <v>351</v>
      </c>
      <c r="B336" s="4">
        <v>95.0</v>
      </c>
    </row>
    <row r="337" ht="22.5" customHeight="1">
      <c r="A337" s="3" t="s">
        <v>352</v>
      </c>
      <c r="B337" s="4">
        <v>165.0</v>
      </c>
    </row>
    <row r="338" ht="22.5" customHeight="1">
      <c r="A338" s="3" t="s">
        <v>353</v>
      </c>
      <c r="B338" s="4">
        <v>117.0</v>
      </c>
    </row>
    <row r="339" ht="22.5" customHeight="1">
      <c r="A339" s="3" t="s">
        <v>354</v>
      </c>
      <c r="B339" s="4">
        <v>115.0</v>
      </c>
    </row>
    <row r="340" ht="22.5" customHeight="1">
      <c r="A340" s="3" t="s">
        <v>355</v>
      </c>
      <c r="B340" s="4">
        <v>152.0</v>
      </c>
    </row>
    <row r="341" ht="22.5" customHeight="1">
      <c r="A341" s="3" t="s">
        <v>356</v>
      </c>
      <c r="B341" s="4">
        <v>178.0</v>
      </c>
    </row>
    <row r="342" ht="22.5" customHeight="1">
      <c r="A342" s="3" t="s">
        <v>357</v>
      </c>
      <c r="B342" s="4">
        <v>130.0</v>
      </c>
    </row>
    <row r="343" ht="22.5" customHeight="1">
      <c r="A343" s="3" t="s">
        <v>358</v>
      </c>
      <c r="B343" s="4">
        <v>95.0</v>
      </c>
    </row>
    <row r="344" ht="22.5" customHeight="1">
      <c r="A344" s="3" t="s">
        <v>359</v>
      </c>
      <c r="B344" s="3" t="s">
        <v>26</v>
      </c>
    </row>
    <row r="345" ht="22.5" customHeight="1">
      <c r="A345" s="3" t="s">
        <v>360</v>
      </c>
      <c r="B345" s="4">
        <v>122.0</v>
      </c>
    </row>
    <row r="346" ht="22.5" customHeight="1">
      <c r="A346" s="3" t="s">
        <v>361</v>
      </c>
      <c r="B346" s="4">
        <v>95.0</v>
      </c>
    </row>
    <row r="347" ht="22.5" customHeight="1">
      <c r="A347" s="3" t="s">
        <v>362</v>
      </c>
      <c r="B347" s="4">
        <v>126.0</v>
      </c>
    </row>
    <row r="348" ht="22.5" customHeight="1">
      <c r="A348" s="3" t="s">
        <v>363</v>
      </c>
      <c r="B348" s="4">
        <v>139.0</v>
      </c>
    </row>
    <row r="349" ht="22.5" customHeight="1">
      <c r="A349" s="3" t="s">
        <v>364</v>
      </c>
      <c r="B349" s="4">
        <v>116.0</v>
      </c>
    </row>
    <row r="350" ht="22.5" customHeight="1">
      <c r="A350" s="3" t="s">
        <v>365</v>
      </c>
      <c r="B350" s="4">
        <v>99.0</v>
      </c>
    </row>
    <row r="351" ht="22.5" customHeight="1">
      <c r="A351" s="3" t="s">
        <v>366</v>
      </c>
      <c r="B351" s="3" t="s">
        <v>26</v>
      </c>
    </row>
    <row r="352" ht="22.5" customHeight="1">
      <c r="A352" s="3" t="s">
        <v>367</v>
      </c>
      <c r="B352" s="4">
        <v>92.0</v>
      </c>
    </row>
    <row r="353" ht="22.5" customHeight="1">
      <c r="A353" s="3" t="s">
        <v>368</v>
      </c>
      <c r="B353" s="4">
        <v>137.0</v>
      </c>
    </row>
    <row r="354" ht="22.5" customHeight="1">
      <c r="A354" s="3" t="s">
        <v>369</v>
      </c>
      <c r="B354" s="4">
        <v>61.0</v>
      </c>
    </row>
    <row r="355" ht="22.5" customHeight="1">
      <c r="A355" s="3" t="s">
        <v>370</v>
      </c>
      <c r="B355" s="4">
        <v>90.0</v>
      </c>
    </row>
    <row r="356" ht="22.5" customHeight="1">
      <c r="A356" s="3" t="s">
        <v>371</v>
      </c>
      <c r="B356" s="4">
        <v>90.0</v>
      </c>
    </row>
    <row r="357" ht="22.5" customHeight="1">
      <c r="A357" s="3" t="s">
        <v>372</v>
      </c>
      <c r="B357" s="4">
        <v>165.0</v>
      </c>
    </row>
    <row r="358" ht="22.5" customHeight="1">
      <c r="A358" s="3" t="s">
        <v>373</v>
      </c>
      <c r="B358" s="4">
        <v>125.0</v>
      </c>
    </row>
    <row r="359" ht="22.5" customHeight="1">
      <c r="A359" s="3" t="s">
        <v>374</v>
      </c>
      <c r="B359" s="4">
        <v>129.0</v>
      </c>
    </row>
    <row r="360" ht="22.5" customHeight="1">
      <c r="A360" s="3" t="s">
        <v>375</v>
      </c>
      <c r="B360" s="4">
        <v>88.0</v>
      </c>
    </row>
    <row r="361" ht="22.5" customHeight="1">
      <c r="A361" s="3" t="s">
        <v>376</v>
      </c>
      <c r="B361" s="4">
        <v>196.0</v>
      </c>
    </row>
    <row r="362" ht="22.5" customHeight="1">
      <c r="A362" s="3" t="s">
        <v>377</v>
      </c>
      <c r="B362" s="4">
        <v>189.0</v>
      </c>
    </row>
    <row r="363" ht="22.5" customHeight="1">
      <c r="A363" s="3" t="s">
        <v>378</v>
      </c>
      <c r="B363" s="4">
        <v>158.0</v>
      </c>
    </row>
    <row r="364" ht="22.5" customHeight="1">
      <c r="A364" s="3" t="s">
        <v>379</v>
      </c>
      <c r="B364" s="4">
        <v>103.0</v>
      </c>
    </row>
    <row r="365" ht="22.5" customHeight="1">
      <c r="A365" s="3" t="s">
        <v>380</v>
      </c>
      <c r="B365" s="4">
        <v>146.0</v>
      </c>
    </row>
    <row r="366" ht="22.5" customHeight="1">
      <c r="A366" s="3" t="s">
        <v>381</v>
      </c>
      <c r="B366" s="4">
        <v>147.0</v>
      </c>
    </row>
    <row r="367" ht="22.5" customHeight="1">
      <c r="A367" s="3" t="s">
        <v>382</v>
      </c>
      <c r="B367" s="4">
        <v>99.0</v>
      </c>
    </row>
    <row r="368" ht="22.5" customHeight="1">
      <c r="A368" s="3" t="s">
        <v>383</v>
      </c>
      <c r="B368" s="4">
        <v>124.0</v>
      </c>
    </row>
    <row r="369" ht="22.5" customHeight="1">
      <c r="A369" s="3" t="s">
        <v>384</v>
      </c>
      <c r="B369" s="4">
        <v>101.0</v>
      </c>
    </row>
    <row r="370" ht="22.5" customHeight="1">
      <c r="A370" s="3" t="s">
        <v>385</v>
      </c>
      <c r="B370" s="4">
        <v>81.0</v>
      </c>
    </row>
    <row r="371" ht="22.5" customHeight="1">
      <c r="A371" s="3" t="s">
        <v>386</v>
      </c>
      <c r="B371" s="4">
        <v>133.0</v>
      </c>
    </row>
    <row r="372" ht="22.5" customHeight="1">
      <c r="A372" s="3" t="s">
        <v>387</v>
      </c>
      <c r="B372" s="4">
        <v>173.0</v>
      </c>
    </row>
    <row r="373" ht="22.5" customHeight="1">
      <c r="A373" s="3" t="s">
        <v>388</v>
      </c>
      <c r="B373" s="4">
        <v>118.0</v>
      </c>
    </row>
    <row r="374" ht="22.5" customHeight="1">
      <c r="A374" s="3" t="s">
        <v>389</v>
      </c>
      <c r="B374" s="4">
        <v>84.0</v>
      </c>
    </row>
    <row r="375" ht="22.5" customHeight="1">
      <c r="A375" s="3" t="s">
        <v>390</v>
      </c>
      <c r="B375" s="4">
        <v>105.0</v>
      </c>
    </row>
    <row r="376" ht="22.5" customHeight="1">
      <c r="A376" s="3" t="s">
        <v>391</v>
      </c>
      <c r="B376" s="4">
        <v>122.0</v>
      </c>
    </row>
    <row r="377" ht="22.5" customHeight="1">
      <c r="A377" s="3" t="s">
        <v>392</v>
      </c>
      <c r="B377" s="4">
        <v>140.0</v>
      </c>
    </row>
    <row r="378" ht="22.5" customHeight="1">
      <c r="A378" s="3" t="s">
        <v>393</v>
      </c>
      <c r="B378" s="4">
        <v>98.0</v>
      </c>
    </row>
    <row r="379" ht="22.5" customHeight="1">
      <c r="A379" s="3" t="s">
        <v>394</v>
      </c>
      <c r="B379" s="4">
        <v>87.0</v>
      </c>
    </row>
    <row r="380" ht="22.5" customHeight="1">
      <c r="A380" s="3" t="s">
        <v>395</v>
      </c>
      <c r="B380" s="4">
        <v>156.0</v>
      </c>
    </row>
    <row r="381" ht="22.5" customHeight="1">
      <c r="A381" s="3" t="s">
        <v>396</v>
      </c>
      <c r="B381" s="4">
        <v>93.0</v>
      </c>
    </row>
    <row r="382" ht="22.5" customHeight="1">
      <c r="A382" s="3" t="s">
        <v>397</v>
      </c>
      <c r="B382" s="4">
        <v>107.0</v>
      </c>
    </row>
    <row r="383" ht="22.5" customHeight="1">
      <c r="A383" s="3" t="s">
        <v>398</v>
      </c>
      <c r="B383" s="4">
        <v>105.0</v>
      </c>
    </row>
    <row r="384" ht="22.5" customHeight="1">
      <c r="A384" s="3" t="s">
        <v>399</v>
      </c>
      <c r="B384" s="4">
        <v>109.0</v>
      </c>
    </row>
    <row r="385" ht="22.5" customHeight="1">
      <c r="A385" s="3" t="s">
        <v>400</v>
      </c>
      <c r="B385" s="4">
        <v>90.0</v>
      </c>
    </row>
    <row r="386" ht="22.5" customHeight="1">
      <c r="A386" s="3" t="s">
        <v>401</v>
      </c>
      <c r="B386" s="4">
        <v>125.0</v>
      </c>
    </row>
    <row r="387" ht="22.5" customHeight="1">
      <c r="A387" s="3" t="s">
        <v>402</v>
      </c>
      <c r="B387" s="4">
        <v>119.0</v>
      </c>
    </row>
    <row r="388" ht="22.5" customHeight="1">
      <c r="A388" s="3" t="s">
        <v>403</v>
      </c>
      <c r="B388" s="4">
        <v>116.0</v>
      </c>
    </row>
    <row r="389" ht="22.5" customHeight="1">
      <c r="A389" s="3" t="s">
        <v>404</v>
      </c>
      <c r="B389" s="4">
        <v>105.0</v>
      </c>
    </row>
    <row r="390" ht="22.5" customHeight="1">
      <c r="A390" s="3" t="s">
        <v>405</v>
      </c>
      <c r="B390" s="4">
        <v>144.0</v>
      </c>
    </row>
    <row r="391" ht="22.5" customHeight="1">
      <c r="A391" s="3" t="s">
        <v>406</v>
      </c>
      <c r="B391" s="4">
        <v>100.0</v>
      </c>
    </row>
    <row r="392" ht="22.5" customHeight="1">
      <c r="A392" s="3" t="s">
        <v>407</v>
      </c>
      <c r="B392" s="4">
        <v>100.0</v>
      </c>
    </row>
    <row r="393" ht="22.5" customHeight="1">
      <c r="A393" s="3" t="s">
        <v>408</v>
      </c>
      <c r="B393" s="4">
        <v>166.0</v>
      </c>
    </row>
    <row r="394" ht="22.5" customHeight="1">
      <c r="A394" s="3" t="s">
        <v>409</v>
      </c>
      <c r="B394" s="4">
        <v>131.0</v>
      </c>
    </row>
    <row r="395" ht="22.5" customHeight="1">
      <c r="A395" s="3" t="s">
        <v>410</v>
      </c>
      <c r="B395" s="4">
        <v>116.0</v>
      </c>
    </row>
    <row r="396" ht="22.5" customHeight="1">
      <c r="A396" s="3" t="s">
        <v>411</v>
      </c>
      <c r="B396" s="4">
        <v>158.0</v>
      </c>
    </row>
    <row r="397" ht="22.5" customHeight="1">
      <c r="A397" s="3" t="s">
        <v>412</v>
      </c>
      <c r="B397" s="4">
        <v>127.0</v>
      </c>
    </row>
    <row r="398" ht="22.5" customHeight="1">
      <c r="A398" s="3" t="s">
        <v>413</v>
      </c>
      <c r="B398" s="4">
        <v>96.0</v>
      </c>
    </row>
    <row r="399" ht="22.5" customHeight="1">
      <c r="A399" s="3" t="s">
        <v>414</v>
      </c>
      <c r="B399" s="4">
        <v>131.0</v>
      </c>
    </row>
    <row r="400" ht="22.5" customHeight="1">
      <c r="A400" s="3" t="s">
        <v>415</v>
      </c>
      <c r="B400" s="4">
        <v>82.0</v>
      </c>
    </row>
    <row r="401" ht="22.5" customHeight="1">
      <c r="A401" s="3" t="s">
        <v>416</v>
      </c>
      <c r="B401" s="4">
        <v>193.0</v>
      </c>
    </row>
    <row r="402" ht="22.5" customHeight="1">
      <c r="A402" s="3" t="s">
        <v>417</v>
      </c>
      <c r="B402" s="4">
        <v>95.0</v>
      </c>
    </row>
    <row r="403" ht="22.5" customHeight="1">
      <c r="A403" s="3" t="s">
        <v>418</v>
      </c>
      <c r="B403" s="4">
        <v>137.0</v>
      </c>
    </row>
    <row r="404" ht="22.5" customHeight="1">
      <c r="A404" s="3" t="s">
        <v>419</v>
      </c>
      <c r="B404" s="4">
        <v>136.0</v>
      </c>
    </row>
    <row r="405" ht="22.5" customHeight="1">
      <c r="A405" s="3" t="s">
        <v>420</v>
      </c>
      <c r="B405" s="4">
        <v>72.0</v>
      </c>
    </row>
    <row r="406" ht="22.5" customHeight="1">
      <c r="A406" s="3" t="s">
        <v>421</v>
      </c>
      <c r="B406" s="4">
        <v>168.0</v>
      </c>
    </row>
    <row r="407" ht="22.5" customHeight="1">
      <c r="A407" s="3" t="s">
        <v>422</v>
      </c>
      <c r="B407" s="4">
        <v>123.0</v>
      </c>
    </row>
    <row r="408" ht="22.5" customHeight="1">
      <c r="A408" s="3" t="s">
        <v>423</v>
      </c>
      <c r="B408" s="4">
        <v>115.0</v>
      </c>
    </row>
    <row r="409" ht="22.5" customHeight="1">
      <c r="A409" s="3" t="s">
        <v>424</v>
      </c>
      <c r="B409" s="4">
        <v>101.0</v>
      </c>
    </row>
    <row r="410" ht="22.5" customHeight="1">
      <c r="A410" s="3" t="s">
        <v>425</v>
      </c>
      <c r="B410" s="4">
        <v>197.0</v>
      </c>
    </row>
    <row r="411" ht="22.5" customHeight="1">
      <c r="A411" s="3" t="s">
        <v>426</v>
      </c>
      <c r="B411" s="4">
        <v>172.0</v>
      </c>
    </row>
    <row r="412" ht="22.5" customHeight="1">
      <c r="A412" s="3" t="s">
        <v>427</v>
      </c>
      <c r="B412" s="4">
        <v>102.0</v>
      </c>
    </row>
    <row r="413" ht="22.5" customHeight="1">
      <c r="A413" s="3" t="s">
        <v>428</v>
      </c>
      <c r="B413" s="4">
        <v>112.0</v>
      </c>
    </row>
    <row r="414" ht="22.5" customHeight="1">
      <c r="A414" s="3" t="s">
        <v>429</v>
      </c>
      <c r="B414" s="4">
        <v>143.0</v>
      </c>
    </row>
    <row r="415" ht="22.5" customHeight="1">
      <c r="A415" s="3" t="s">
        <v>430</v>
      </c>
      <c r="B415" s="4">
        <v>143.0</v>
      </c>
    </row>
    <row r="416" ht="22.5" customHeight="1">
      <c r="A416" s="3" t="s">
        <v>431</v>
      </c>
      <c r="B416" s="4">
        <v>138.0</v>
      </c>
    </row>
    <row r="417" ht="22.5" customHeight="1">
      <c r="A417" s="3" t="s">
        <v>432</v>
      </c>
      <c r="B417" s="4">
        <v>173.0</v>
      </c>
    </row>
    <row r="418" ht="22.5" customHeight="1">
      <c r="A418" s="3" t="s">
        <v>433</v>
      </c>
      <c r="B418" s="4">
        <v>97.0</v>
      </c>
    </row>
    <row r="419" ht="22.5" customHeight="1">
      <c r="A419" s="3" t="s">
        <v>434</v>
      </c>
      <c r="B419" s="4">
        <v>144.0</v>
      </c>
    </row>
    <row r="420" ht="22.5" customHeight="1">
      <c r="A420" s="3" t="s">
        <v>435</v>
      </c>
      <c r="B420" s="4">
        <v>83.0</v>
      </c>
    </row>
    <row r="421" ht="22.5" customHeight="1">
      <c r="A421" s="3" t="s">
        <v>436</v>
      </c>
      <c r="B421" s="4">
        <v>129.0</v>
      </c>
    </row>
    <row r="422" ht="22.5" customHeight="1">
      <c r="A422" s="3" t="s">
        <v>437</v>
      </c>
      <c r="B422" s="4">
        <v>119.0</v>
      </c>
    </row>
    <row r="423" ht="22.5" customHeight="1">
      <c r="A423" s="3" t="s">
        <v>438</v>
      </c>
      <c r="B423" s="4">
        <v>94.0</v>
      </c>
    </row>
    <row r="424" ht="22.5" customHeight="1">
      <c r="A424" s="3" t="s">
        <v>439</v>
      </c>
      <c r="B424" s="4">
        <v>102.0</v>
      </c>
    </row>
    <row r="425" ht="22.5" customHeight="1">
      <c r="A425" s="3" t="s">
        <v>440</v>
      </c>
      <c r="B425" s="4">
        <v>115.0</v>
      </c>
    </row>
    <row r="426" ht="22.5" customHeight="1">
      <c r="A426" s="3" t="s">
        <v>441</v>
      </c>
      <c r="B426" s="4">
        <v>151.0</v>
      </c>
    </row>
    <row r="427" ht="22.5" customHeight="1">
      <c r="A427" s="3" t="s">
        <v>442</v>
      </c>
      <c r="B427" s="4">
        <v>184.0</v>
      </c>
    </row>
    <row r="428" ht="22.5" customHeight="1">
      <c r="A428" s="3" t="s">
        <v>443</v>
      </c>
      <c r="B428" s="4">
        <v>94.0</v>
      </c>
    </row>
    <row r="429" ht="22.5" customHeight="1">
      <c r="A429" s="3" t="s">
        <v>444</v>
      </c>
      <c r="B429" s="4">
        <v>181.0</v>
      </c>
    </row>
    <row r="430" ht="22.5" customHeight="1">
      <c r="A430" s="3" t="s">
        <v>445</v>
      </c>
      <c r="B430" s="4">
        <v>135.0</v>
      </c>
    </row>
    <row r="431" ht="22.5" customHeight="1">
      <c r="A431" s="3" t="s">
        <v>446</v>
      </c>
      <c r="B431" s="4">
        <v>95.0</v>
      </c>
    </row>
    <row r="432" ht="22.5" customHeight="1">
      <c r="A432" s="3" t="s">
        <v>447</v>
      </c>
      <c r="B432" s="4">
        <v>99.0</v>
      </c>
    </row>
    <row r="433" ht="22.5" customHeight="1">
      <c r="A433" s="3" t="s">
        <v>448</v>
      </c>
      <c r="B433" s="4">
        <v>89.0</v>
      </c>
    </row>
    <row r="434" ht="22.5" customHeight="1">
      <c r="A434" s="3" t="s">
        <v>449</v>
      </c>
      <c r="B434" s="4">
        <v>80.0</v>
      </c>
    </row>
    <row r="435" ht="22.5" customHeight="1">
      <c r="A435" s="3" t="s">
        <v>450</v>
      </c>
      <c r="B435" s="4">
        <v>139.0</v>
      </c>
    </row>
    <row r="436" ht="22.5" customHeight="1">
      <c r="A436" s="3" t="s">
        <v>451</v>
      </c>
      <c r="B436" s="4">
        <v>90.0</v>
      </c>
    </row>
    <row r="437" ht="22.5" customHeight="1">
      <c r="A437" s="3" t="s">
        <v>452</v>
      </c>
      <c r="B437" s="4">
        <v>141.0</v>
      </c>
    </row>
    <row r="438" ht="22.5" customHeight="1">
      <c r="A438" s="3" t="s">
        <v>453</v>
      </c>
      <c r="B438" s="4">
        <v>140.0</v>
      </c>
    </row>
    <row r="439" ht="22.5" customHeight="1">
      <c r="A439" s="3" t="s">
        <v>454</v>
      </c>
      <c r="B439" s="4">
        <v>147.0</v>
      </c>
    </row>
    <row r="440" ht="22.5" customHeight="1">
      <c r="A440" s="3" t="s">
        <v>455</v>
      </c>
      <c r="B440" s="4">
        <v>97.0</v>
      </c>
    </row>
    <row r="441" ht="22.5" customHeight="1">
      <c r="A441" s="3" t="s">
        <v>456</v>
      </c>
      <c r="B441" s="4">
        <v>107.0</v>
      </c>
    </row>
    <row r="442" ht="22.5" customHeight="1">
      <c r="A442" s="3" t="s">
        <v>457</v>
      </c>
      <c r="B442" s="4">
        <v>189.0</v>
      </c>
    </row>
    <row r="443" ht="22.5" customHeight="1">
      <c r="A443" s="3" t="s">
        <v>458</v>
      </c>
      <c r="B443" s="4">
        <v>83.0</v>
      </c>
    </row>
    <row r="444" ht="22.5" customHeight="1">
      <c r="A444" s="3" t="s">
        <v>459</v>
      </c>
      <c r="B444" s="4">
        <v>117.0</v>
      </c>
    </row>
    <row r="445" ht="22.5" customHeight="1">
      <c r="A445" s="3" t="s">
        <v>460</v>
      </c>
      <c r="B445" s="4">
        <v>108.0</v>
      </c>
    </row>
    <row r="446" ht="22.5" customHeight="1">
      <c r="A446" s="3" t="s">
        <v>461</v>
      </c>
      <c r="B446" s="4">
        <v>117.0</v>
      </c>
    </row>
    <row r="447" ht="22.5" customHeight="1">
      <c r="A447" s="3" t="s">
        <v>462</v>
      </c>
      <c r="B447" s="4">
        <v>180.0</v>
      </c>
    </row>
    <row r="448" ht="22.5" customHeight="1">
      <c r="A448" s="3" t="s">
        <v>463</v>
      </c>
      <c r="B448" s="4">
        <v>100.0</v>
      </c>
    </row>
    <row r="449" ht="22.5" customHeight="1">
      <c r="A449" s="3" t="s">
        <v>464</v>
      </c>
      <c r="B449" s="4">
        <v>95.0</v>
      </c>
    </row>
    <row r="450" ht="22.5" customHeight="1">
      <c r="A450" s="3" t="s">
        <v>465</v>
      </c>
      <c r="B450" s="4">
        <v>104.0</v>
      </c>
    </row>
    <row r="451" ht="22.5" customHeight="1">
      <c r="A451" s="3" t="s">
        <v>466</v>
      </c>
      <c r="B451" s="4">
        <v>120.0</v>
      </c>
    </row>
    <row r="452" ht="22.5" customHeight="1">
      <c r="A452" s="3" t="s">
        <v>467</v>
      </c>
      <c r="B452" s="4">
        <v>82.0</v>
      </c>
    </row>
    <row r="453" ht="22.5" customHeight="1">
      <c r="A453" s="3" t="s">
        <v>468</v>
      </c>
      <c r="B453" s="4">
        <v>134.0</v>
      </c>
    </row>
    <row r="454" ht="22.5" customHeight="1">
      <c r="A454" s="3" t="s">
        <v>469</v>
      </c>
      <c r="B454" s="4">
        <v>91.0</v>
      </c>
    </row>
    <row r="455" ht="22.5" customHeight="1">
      <c r="A455" s="3" t="s">
        <v>470</v>
      </c>
      <c r="B455" s="4">
        <v>119.0</v>
      </c>
    </row>
    <row r="456" ht="22.5" customHeight="1">
      <c r="A456" s="3" t="s">
        <v>471</v>
      </c>
      <c r="B456" s="4">
        <v>100.0</v>
      </c>
    </row>
    <row r="457" ht="22.5" customHeight="1">
      <c r="A457" s="3" t="s">
        <v>472</v>
      </c>
      <c r="B457" s="4">
        <v>175.0</v>
      </c>
    </row>
    <row r="458" ht="22.5" customHeight="1">
      <c r="A458" s="3" t="s">
        <v>473</v>
      </c>
      <c r="B458" s="4">
        <v>135.0</v>
      </c>
    </row>
    <row r="459" ht="22.5" customHeight="1">
      <c r="A459" s="3" t="s">
        <v>474</v>
      </c>
      <c r="B459" s="4">
        <v>86.0</v>
      </c>
    </row>
    <row r="460" ht="22.5" customHeight="1">
      <c r="A460" s="3" t="s">
        <v>475</v>
      </c>
      <c r="B460" s="4">
        <v>148.0</v>
      </c>
    </row>
    <row r="461" ht="22.5" customHeight="1">
      <c r="A461" s="3" t="s">
        <v>476</v>
      </c>
      <c r="B461" s="4">
        <v>134.0</v>
      </c>
    </row>
    <row r="462" ht="22.5" customHeight="1">
      <c r="A462" s="3" t="s">
        <v>477</v>
      </c>
      <c r="B462" s="4">
        <v>120.0</v>
      </c>
    </row>
    <row r="463" ht="22.5" customHeight="1">
      <c r="A463" s="3" t="s">
        <v>478</v>
      </c>
      <c r="B463" s="4">
        <v>71.0</v>
      </c>
    </row>
    <row r="464" ht="22.5" customHeight="1">
      <c r="A464" s="3" t="s">
        <v>479</v>
      </c>
      <c r="B464" s="4">
        <v>74.0</v>
      </c>
    </row>
    <row r="465" ht="22.5" customHeight="1">
      <c r="A465" s="3" t="s">
        <v>480</v>
      </c>
      <c r="B465" s="4">
        <v>88.0</v>
      </c>
    </row>
    <row r="466" ht="22.5" customHeight="1">
      <c r="A466" s="3" t="s">
        <v>481</v>
      </c>
      <c r="B466" s="4">
        <v>115.0</v>
      </c>
    </row>
    <row r="467" ht="22.5" customHeight="1">
      <c r="A467" s="3" t="s">
        <v>482</v>
      </c>
      <c r="B467" s="4">
        <v>124.0</v>
      </c>
    </row>
    <row r="468" ht="22.5" customHeight="1">
      <c r="A468" s="3" t="s">
        <v>483</v>
      </c>
      <c r="B468" s="4">
        <v>74.0</v>
      </c>
    </row>
    <row r="469" ht="22.5" customHeight="1">
      <c r="A469" s="3" t="s">
        <v>484</v>
      </c>
      <c r="B469" s="4">
        <v>97.0</v>
      </c>
    </row>
    <row r="470" ht="22.5" customHeight="1">
      <c r="A470" s="3" t="s">
        <v>485</v>
      </c>
      <c r="B470" s="4">
        <v>120.0</v>
      </c>
    </row>
    <row r="471" ht="22.5" customHeight="1">
      <c r="A471" s="3" t="s">
        <v>486</v>
      </c>
      <c r="B471" s="4">
        <v>154.0</v>
      </c>
    </row>
    <row r="472" ht="22.5" customHeight="1">
      <c r="A472" s="3" t="s">
        <v>487</v>
      </c>
      <c r="B472" s="4">
        <v>144.0</v>
      </c>
    </row>
    <row r="473" ht="22.5" customHeight="1">
      <c r="A473" s="3" t="s">
        <v>488</v>
      </c>
      <c r="B473" s="4">
        <v>137.0</v>
      </c>
    </row>
    <row r="474" ht="22.5" customHeight="1">
      <c r="A474" s="3" t="s">
        <v>489</v>
      </c>
      <c r="B474" s="4">
        <v>119.0</v>
      </c>
    </row>
    <row r="475" ht="22.5" customHeight="1">
      <c r="A475" s="3" t="s">
        <v>490</v>
      </c>
      <c r="B475" s="4">
        <v>136.0</v>
      </c>
    </row>
    <row r="476" ht="22.5" customHeight="1">
      <c r="A476" s="3" t="s">
        <v>491</v>
      </c>
      <c r="B476" s="4">
        <v>114.0</v>
      </c>
    </row>
    <row r="477" ht="22.5" customHeight="1">
      <c r="A477" s="3" t="s">
        <v>492</v>
      </c>
      <c r="B477" s="4">
        <v>137.0</v>
      </c>
    </row>
    <row r="478" ht="22.5" customHeight="1">
      <c r="A478" s="3" t="s">
        <v>493</v>
      </c>
      <c r="B478" s="4">
        <v>105.0</v>
      </c>
    </row>
    <row r="479" ht="22.5" customHeight="1">
      <c r="A479" s="3" t="s">
        <v>494</v>
      </c>
      <c r="B479" s="4">
        <v>114.0</v>
      </c>
    </row>
    <row r="480" ht="22.5" customHeight="1">
      <c r="A480" s="3" t="s">
        <v>495</v>
      </c>
      <c r="B480" s="4">
        <v>126.0</v>
      </c>
    </row>
    <row r="481" ht="22.5" customHeight="1">
      <c r="A481" s="3" t="s">
        <v>496</v>
      </c>
      <c r="B481" s="4">
        <v>132.0</v>
      </c>
    </row>
    <row r="482" ht="22.5" customHeight="1">
      <c r="A482" s="3" t="s">
        <v>497</v>
      </c>
      <c r="B482" s="4">
        <v>158.0</v>
      </c>
    </row>
    <row r="483" ht="22.5" customHeight="1">
      <c r="A483" s="3" t="s">
        <v>498</v>
      </c>
      <c r="B483" s="4">
        <v>123.0</v>
      </c>
    </row>
    <row r="484" ht="22.5" customHeight="1">
      <c r="A484" s="3" t="s">
        <v>499</v>
      </c>
      <c r="B484" s="4">
        <v>85.0</v>
      </c>
    </row>
    <row r="485" ht="22.5" customHeight="1">
      <c r="A485" s="3" t="s">
        <v>500</v>
      </c>
      <c r="B485" s="4">
        <v>84.0</v>
      </c>
    </row>
    <row r="486" ht="22.5" customHeight="1">
      <c r="A486" s="3" t="s">
        <v>501</v>
      </c>
      <c r="B486" s="4">
        <v>145.0</v>
      </c>
    </row>
    <row r="487" ht="22.5" customHeight="1">
      <c r="A487" s="3" t="s">
        <v>502</v>
      </c>
      <c r="B487" s="4">
        <v>135.0</v>
      </c>
    </row>
    <row r="488" ht="22.5" customHeight="1">
      <c r="A488" s="3" t="s">
        <v>503</v>
      </c>
      <c r="B488" s="4">
        <v>139.0</v>
      </c>
    </row>
    <row r="489" ht="22.5" customHeight="1">
      <c r="A489" s="3" t="s">
        <v>504</v>
      </c>
      <c r="B489" s="4">
        <v>173.0</v>
      </c>
    </row>
    <row r="490" ht="22.5" customHeight="1">
      <c r="A490" s="3" t="s">
        <v>505</v>
      </c>
      <c r="B490" s="4">
        <v>99.0</v>
      </c>
    </row>
    <row r="491" ht="22.5" customHeight="1">
      <c r="A491" s="3" t="s">
        <v>506</v>
      </c>
      <c r="B491" s="4">
        <v>194.0</v>
      </c>
    </row>
    <row r="492" ht="22.5" customHeight="1">
      <c r="A492" s="3" t="s">
        <v>507</v>
      </c>
      <c r="B492" s="4">
        <v>83.0</v>
      </c>
    </row>
    <row r="493" ht="22.5" customHeight="1">
      <c r="A493" s="3" t="s">
        <v>508</v>
      </c>
      <c r="B493" s="4">
        <v>89.0</v>
      </c>
    </row>
    <row r="494" ht="22.5" customHeight="1">
      <c r="A494" s="3" t="s">
        <v>509</v>
      </c>
      <c r="B494" s="4">
        <v>99.0</v>
      </c>
    </row>
    <row r="495" ht="22.5" customHeight="1">
      <c r="A495" s="3" t="s">
        <v>510</v>
      </c>
      <c r="B495" s="4">
        <v>125.0</v>
      </c>
    </row>
    <row r="496" ht="22.5" customHeight="1">
      <c r="A496" s="3" t="s">
        <v>511</v>
      </c>
      <c r="B496" s="4">
        <v>80.0</v>
      </c>
    </row>
    <row r="497" ht="22.5" customHeight="1">
      <c r="A497" s="3" t="s">
        <v>512</v>
      </c>
      <c r="B497" s="4">
        <v>166.0</v>
      </c>
    </row>
    <row r="498" ht="22.5" customHeight="1">
      <c r="A498" s="3" t="s">
        <v>513</v>
      </c>
      <c r="B498" s="4">
        <v>110.0</v>
      </c>
    </row>
    <row r="499" ht="22.5" customHeight="1">
      <c r="A499" s="3" t="s">
        <v>514</v>
      </c>
      <c r="B499" s="4">
        <v>81.0</v>
      </c>
    </row>
    <row r="500" ht="22.5" customHeight="1">
      <c r="A500" s="3" t="s">
        <v>515</v>
      </c>
      <c r="B500" s="4">
        <v>195.0</v>
      </c>
    </row>
    <row r="501" ht="22.5" customHeight="1">
      <c r="A501" s="3" t="s">
        <v>516</v>
      </c>
      <c r="B501" s="4">
        <v>154.0</v>
      </c>
    </row>
    <row r="502" ht="22.5" customHeight="1">
      <c r="A502" s="3" t="s">
        <v>517</v>
      </c>
      <c r="B502" s="4">
        <v>117.0</v>
      </c>
    </row>
    <row r="503" ht="22.5" customHeight="1">
      <c r="A503" s="3" t="s">
        <v>518</v>
      </c>
      <c r="B503" s="4">
        <v>84.0</v>
      </c>
    </row>
    <row r="504" ht="22.5" customHeight="1">
      <c r="A504" s="3" t="s">
        <v>519</v>
      </c>
      <c r="B504" s="3" t="s">
        <v>26</v>
      </c>
    </row>
    <row r="505" ht="22.5" customHeight="1">
      <c r="A505" s="3" t="s">
        <v>520</v>
      </c>
      <c r="B505" s="4">
        <v>94.0</v>
      </c>
    </row>
    <row r="506" ht="22.5" customHeight="1">
      <c r="A506" s="3" t="s">
        <v>521</v>
      </c>
      <c r="B506" s="4">
        <v>96.0</v>
      </c>
    </row>
    <row r="507" ht="22.5" customHeight="1">
      <c r="A507" s="3" t="s">
        <v>522</v>
      </c>
      <c r="B507" s="4">
        <v>75.0</v>
      </c>
    </row>
    <row r="508" ht="22.5" customHeight="1">
      <c r="A508" s="3" t="s">
        <v>523</v>
      </c>
      <c r="B508" s="4">
        <v>180.0</v>
      </c>
    </row>
    <row r="509" ht="22.5" customHeight="1">
      <c r="A509" s="3" t="s">
        <v>524</v>
      </c>
      <c r="B509" s="4">
        <v>130.0</v>
      </c>
    </row>
    <row r="510" ht="22.5" customHeight="1">
      <c r="A510" s="3" t="s">
        <v>525</v>
      </c>
      <c r="B510" s="4">
        <v>84.0</v>
      </c>
    </row>
    <row r="511" ht="22.5" customHeight="1">
      <c r="A511" s="3" t="s">
        <v>526</v>
      </c>
      <c r="B511" s="4">
        <v>120.0</v>
      </c>
    </row>
    <row r="512" ht="22.5" customHeight="1">
      <c r="A512" s="3" t="s">
        <v>527</v>
      </c>
      <c r="B512" s="4">
        <v>84.0</v>
      </c>
    </row>
    <row r="513" ht="22.5" customHeight="1">
      <c r="A513" s="3" t="s">
        <v>528</v>
      </c>
      <c r="B513" s="4">
        <v>139.0</v>
      </c>
    </row>
    <row r="514" ht="22.5" customHeight="1">
      <c r="A514" s="3" t="s">
        <v>529</v>
      </c>
      <c r="B514" s="4">
        <v>91.0</v>
      </c>
    </row>
    <row r="515" ht="22.5" customHeight="1">
      <c r="A515" s="3" t="s">
        <v>530</v>
      </c>
      <c r="B515" s="4">
        <v>91.0</v>
      </c>
    </row>
    <row r="516" ht="22.5" customHeight="1">
      <c r="A516" s="3" t="s">
        <v>531</v>
      </c>
      <c r="B516" s="4">
        <v>99.0</v>
      </c>
    </row>
    <row r="517" ht="22.5" customHeight="1">
      <c r="A517" s="3" t="s">
        <v>532</v>
      </c>
      <c r="B517" s="4">
        <v>163.0</v>
      </c>
    </row>
    <row r="518" ht="22.5" customHeight="1">
      <c r="A518" s="3" t="s">
        <v>533</v>
      </c>
      <c r="B518" s="4">
        <v>145.0</v>
      </c>
    </row>
    <row r="519" ht="22.5" customHeight="1">
      <c r="A519" s="3" t="s">
        <v>534</v>
      </c>
      <c r="B519" s="4">
        <v>125.0</v>
      </c>
    </row>
    <row r="520" ht="22.5" customHeight="1">
      <c r="A520" s="3" t="s">
        <v>535</v>
      </c>
      <c r="B520" s="4">
        <v>76.0</v>
      </c>
    </row>
    <row r="521" ht="22.5" customHeight="1">
      <c r="A521" s="3" t="s">
        <v>536</v>
      </c>
      <c r="B521" s="4">
        <v>129.0</v>
      </c>
    </row>
    <row r="522" ht="22.5" customHeight="1">
      <c r="A522" s="3" t="s">
        <v>537</v>
      </c>
      <c r="B522" s="4">
        <v>68.0</v>
      </c>
    </row>
    <row r="523" ht="22.5" customHeight="1">
      <c r="A523" s="3" t="s">
        <v>538</v>
      </c>
      <c r="B523" s="4">
        <v>124.0</v>
      </c>
    </row>
    <row r="524" ht="22.5" customHeight="1">
      <c r="A524" s="3" t="s">
        <v>539</v>
      </c>
      <c r="B524" s="4">
        <v>114.0</v>
      </c>
    </row>
    <row r="525" ht="22.5" customHeight="1">
      <c r="A525" s="3" t="s">
        <v>540</v>
      </c>
      <c r="B525" s="4">
        <v>130.0</v>
      </c>
    </row>
    <row r="526" ht="22.5" customHeight="1">
      <c r="A526" s="3" t="s">
        <v>541</v>
      </c>
      <c r="B526" s="4">
        <v>125.0</v>
      </c>
    </row>
    <row r="527" ht="22.5" customHeight="1">
      <c r="A527" s="3" t="s">
        <v>542</v>
      </c>
      <c r="B527" s="4">
        <v>87.0</v>
      </c>
    </row>
    <row r="528" ht="22.5" customHeight="1">
      <c r="A528" s="3" t="s">
        <v>543</v>
      </c>
      <c r="B528" s="4">
        <v>97.0</v>
      </c>
    </row>
    <row r="529" ht="22.5" customHeight="1">
      <c r="A529" s="3" t="s">
        <v>544</v>
      </c>
      <c r="B529" s="4">
        <v>116.0</v>
      </c>
    </row>
    <row r="530" ht="22.5" customHeight="1">
      <c r="A530" s="3" t="s">
        <v>545</v>
      </c>
      <c r="B530" s="4">
        <v>117.0</v>
      </c>
    </row>
    <row r="531" ht="22.5" customHeight="1">
      <c r="A531" s="3" t="s">
        <v>546</v>
      </c>
      <c r="B531" s="4">
        <v>111.0</v>
      </c>
    </row>
    <row r="532" ht="22.5" customHeight="1">
      <c r="A532" s="3" t="s">
        <v>547</v>
      </c>
      <c r="B532" s="4">
        <v>122.0</v>
      </c>
    </row>
    <row r="533" ht="22.5" customHeight="1">
      <c r="A533" s="3" t="s">
        <v>548</v>
      </c>
      <c r="B533" s="4">
        <v>107.0</v>
      </c>
    </row>
    <row r="534" ht="22.5" customHeight="1">
      <c r="A534" s="3" t="s">
        <v>549</v>
      </c>
      <c r="B534" s="4">
        <v>86.0</v>
      </c>
    </row>
    <row r="535" ht="22.5" customHeight="1">
      <c r="A535" s="3" t="s">
        <v>550</v>
      </c>
      <c r="B535" s="4">
        <v>91.0</v>
      </c>
    </row>
    <row r="536" ht="22.5" customHeight="1">
      <c r="A536" s="3" t="s">
        <v>551</v>
      </c>
      <c r="B536" s="4">
        <v>77.0</v>
      </c>
    </row>
    <row r="537" ht="22.5" customHeight="1">
      <c r="A537" s="3" t="s">
        <v>552</v>
      </c>
      <c r="B537" s="4">
        <v>132.0</v>
      </c>
    </row>
    <row r="538" ht="22.5" customHeight="1">
      <c r="A538" s="3" t="s">
        <v>553</v>
      </c>
      <c r="B538" s="4">
        <v>105.0</v>
      </c>
    </row>
    <row r="539" ht="22.5" customHeight="1">
      <c r="A539" s="3" t="s">
        <v>554</v>
      </c>
      <c r="B539" s="4">
        <v>57.0</v>
      </c>
    </row>
    <row r="540" ht="22.5" customHeight="1">
      <c r="A540" s="3" t="s">
        <v>555</v>
      </c>
      <c r="B540" s="4">
        <v>127.0</v>
      </c>
    </row>
    <row r="541" ht="22.5" customHeight="1">
      <c r="A541" s="3" t="s">
        <v>556</v>
      </c>
      <c r="B541" s="4">
        <v>129.0</v>
      </c>
    </row>
    <row r="542" ht="22.5" customHeight="1">
      <c r="A542" s="3" t="s">
        <v>557</v>
      </c>
      <c r="B542" s="4">
        <v>100.0</v>
      </c>
    </row>
    <row r="543" ht="22.5" customHeight="1">
      <c r="A543" s="3" t="s">
        <v>558</v>
      </c>
      <c r="B543" s="4">
        <v>128.0</v>
      </c>
    </row>
    <row r="544" ht="22.5" customHeight="1">
      <c r="A544" s="3" t="s">
        <v>559</v>
      </c>
      <c r="B544" s="4">
        <v>90.0</v>
      </c>
    </row>
    <row r="545" ht="22.5" customHeight="1">
      <c r="A545" s="3" t="s">
        <v>560</v>
      </c>
      <c r="B545" s="4">
        <v>84.0</v>
      </c>
    </row>
    <row r="546" ht="22.5" customHeight="1">
      <c r="A546" s="3" t="s">
        <v>561</v>
      </c>
      <c r="B546" s="4">
        <v>88.0</v>
      </c>
    </row>
    <row r="547" ht="22.5" customHeight="1">
      <c r="A547" s="3" t="s">
        <v>562</v>
      </c>
      <c r="B547" s="4">
        <v>186.0</v>
      </c>
    </row>
    <row r="548" ht="22.5" customHeight="1">
      <c r="A548" s="3" t="s">
        <v>563</v>
      </c>
      <c r="B548" s="4">
        <v>187.0</v>
      </c>
    </row>
    <row r="549" ht="22.5" customHeight="1">
      <c r="A549" s="3" t="s">
        <v>564</v>
      </c>
      <c r="B549" s="4">
        <v>131.0</v>
      </c>
    </row>
    <row r="550" ht="22.5" customHeight="1">
      <c r="A550" s="3" t="s">
        <v>565</v>
      </c>
      <c r="B550" s="4">
        <v>164.0</v>
      </c>
    </row>
    <row r="551" ht="22.5" customHeight="1">
      <c r="A551" s="3" t="s">
        <v>566</v>
      </c>
      <c r="B551" s="4">
        <v>189.0</v>
      </c>
    </row>
    <row r="552" ht="22.5" customHeight="1">
      <c r="A552" s="3" t="s">
        <v>567</v>
      </c>
      <c r="B552" s="4">
        <v>116.0</v>
      </c>
    </row>
    <row r="553" ht="22.5" customHeight="1">
      <c r="A553" s="3" t="s">
        <v>568</v>
      </c>
      <c r="B553" s="4">
        <v>84.0</v>
      </c>
    </row>
    <row r="554" ht="22.5" customHeight="1">
      <c r="A554" s="3" t="s">
        <v>569</v>
      </c>
      <c r="B554" s="4">
        <v>114.0</v>
      </c>
    </row>
    <row r="555" ht="22.5" customHeight="1">
      <c r="A555" s="3" t="s">
        <v>570</v>
      </c>
      <c r="B555" s="4">
        <v>88.0</v>
      </c>
    </row>
    <row r="556" ht="22.5" customHeight="1">
      <c r="A556" s="3" t="s">
        <v>571</v>
      </c>
      <c r="B556" s="4">
        <v>84.0</v>
      </c>
    </row>
    <row r="557" ht="22.5" customHeight="1">
      <c r="A557" s="3" t="s">
        <v>572</v>
      </c>
      <c r="B557" s="4">
        <v>124.0</v>
      </c>
    </row>
    <row r="558" ht="22.5" customHeight="1">
      <c r="A558" s="3" t="s">
        <v>573</v>
      </c>
      <c r="B558" s="4">
        <v>97.0</v>
      </c>
    </row>
    <row r="559" ht="22.5" customHeight="1">
      <c r="A559" s="3" t="s">
        <v>574</v>
      </c>
      <c r="B559" s="4">
        <v>110.0</v>
      </c>
    </row>
    <row r="560" ht="22.5" customHeight="1">
      <c r="A560" s="3" t="s">
        <v>575</v>
      </c>
      <c r="B560" s="4">
        <v>103.0</v>
      </c>
    </row>
    <row r="561" ht="22.5" customHeight="1">
      <c r="A561" s="3" t="s">
        <v>576</v>
      </c>
      <c r="B561" s="4">
        <v>85.0</v>
      </c>
    </row>
    <row r="562" ht="22.5" customHeight="1">
      <c r="A562" s="3" t="s">
        <v>577</v>
      </c>
      <c r="B562" s="4">
        <v>125.0</v>
      </c>
    </row>
    <row r="563" ht="22.5" customHeight="1">
      <c r="A563" s="3" t="s">
        <v>578</v>
      </c>
      <c r="B563" s="4">
        <v>198.0</v>
      </c>
    </row>
    <row r="564" ht="22.5" customHeight="1">
      <c r="A564" s="3" t="s">
        <v>579</v>
      </c>
      <c r="B564" s="4">
        <v>87.0</v>
      </c>
    </row>
    <row r="565" ht="22.5" customHeight="1">
      <c r="A565" s="3" t="s">
        <v>580</v>
      </c>
      <c r="B565" s="4">
        <v>99.0</v>
      </c>
    </row>
    <row r="566" ht="22.5" customHeight="1">
      <c r="A566" s="3" t="s">
        <v>581</v>
      </c>
      <c r="B566" s="4">
        <v>91.0</v>
      </c>
    </row>
    <row r="567" ht="22.5" customHeight="1">
      <c r="A567" s="3" t="s">
        <v>582</v>
      </c>
      <c r="B567" s="4">
        <v>95.0</v>
      </c>
    </row>
    <row r="568" ht="22.5" customHeight="1">
      <c r="A568" s="3" t="s">
        <v>583</v>
      </c>
      <c r="B568" s="4">
        <v>99.0</v>
      </c>
    </row>
    <row r="569" ht="22.5" customHeight="1">
      <c r="A569" s="3" t="s">
        <v>584</v>
      </c>
      <c r="B569" s="4">
        <v>92.0</v>
      </c>
    </row>
    <row r="570" ht="22.5" customHeight="1">
      <c r="A570" s="3" t="s">
        <v>585</v>
      </c>
      <c r="B570" s="4">
        <v>154.0</v>
      </c>
    </row>
    <row r="571" ht="22.5" customHeight="1">
      <c r="A571" s="3" t="s">
        <v>586</v>
      </c>
      <c r="B571" s="4">
        <v>121.0</v>
      </c>
    </row>
    <row r="572" ht="22.5" customHeight="1">
      <c r="A572" s="3" t="s">
        <v>587</v>
      </c>
      <c r="B572" s="4">
        <v>78.0</v>
      </c>
    </row>
    <row r="573" ht="22.5" customHeight="1">
      <c r="A573" s="3" t="s">
        <v>588</v>
      </c>
      <c r="B573" s="4">
        <v>130.0</v>
      </c>
    </row>
    <row r="574" ht="22.5" customHeight="1">
      <c r="A574" s="3" t="s">
        <v>589</v>
      </c>
      <c r="B574" s="4">
        <v>111.0</v>
      </c>
    </row>
    <row r="575" ht="22.5" customHeight="1">
      <c r="A575" s="3" t="s">
        <v>590</v>
      </c>
      <c r="B575" s="4">
        <v>98.0</v>
      </c>
    </row>
    <row r="576" ht="22.5" customHeight="1">
      <c r="A576" s="3" t="s">
        <v>591</v>
      </c>
      <c r="B576" s="4">
        <v>143.0</v>
      </c>
    </row>
    <row r="577" ht="22.5" customHeight="1">
      <c r="A577" s="3" t="s">
        <v>592</v>
      </c>
      <c r="B577" s="4">
        <v>119.0</v>
      </c>
    </row>
    <row r="578" ht="22.5" customHeight="1">
      <c r="A578" s="3" t="s">
        <v>593</v>
      </c>
      <c r="B578" s="4">
        <v>108.0</v>
      </c>
    </row>
    <row r="579" ht="22.5" customHeight="1">
      <c r="A579" s="3" t="s">
        <v>594</v>
      </c>
      <c r="B579" s="4">
        <v>118.0</v>
      </c>
    </row>
    <row r="580" ht="22.5" customHeight="1">
      <c r="A580" s="3" t="s">
        <v>595</v>
      </c>
      <c r="B580" s="4">
        <v>133.0</v>
      </c>
    </row>
    <row r="581" ht="22.5" customHeight="1">
      <c r="A581" s="3" t="s">
        <v>596</v>
      </c>
      <c r="B581" s="4">
        <v>197.0</v>
      </c>
    </row>
    <row r="582" ht="22.5" customHeight="1">
      <c r="A582" s="3" t="s">
        <v>597</v>
      </c>
      <c r="B582" s="4">
        <v>151.0</v>
      </c>
    </row>
    <row r="583" ht="22.5" customHeight="1">
      <c r="A583" s="3" t="s">
        <v>598</v>
      </c>
      <c r="B583" s="4">
        <v>109.0</v>
      </c>
    </row>
    <row r="584" ht="22.5" customHeight="1">
      <c r="A584" s="3" t="s">
        <v>599</v>
      </c>
      <c r="B584" s="4">
        <v>121.0</v>
      </c>
    </row>
    <row r="585" ht="22.5" customHeight="1">
      <c r="A585" s="3" t="s">
        <v>600</v>
      </c>
      <c r="B585" s="4">
        <v>100.0</v>
      </c>
    </row>
    <row r="586" ht="22.5" customHeight="1">
      <c r="A586" s="3" t="s">
        <v>601</v>
      </c>
      <c r="B586" s="4">
        <v>124.0</v>
      </c>
    </row>
    <row r="587" ht="22.5" customHeight="1">
      <c r="A587" s="3" t="s">
        <v>602</v>
      </c>
      <c r="B587" s="4">
        <v>93.0</v>
      </c>
    </row>
    <row r="588" ht="22.5" customHeight="1">
      <c r="A588" s="3" t="s">
        <v>603</v>
      </c>
      <c r="B588" s="4">
        <v>143.0</v>
      </c>
    </row>
    <row r="589" ht="22.5" customHeight="1">
      <c r="A589" s="3" t="s">
        <v>604</v>
      </c>
      <c r="B589" s="4">
        <v>103.0</v>
      </c>
    </row>
    <row r="590" ht="22.5" customHeight="1">
      <c r="A590" s="3" t="s">
        <v>605</v>
      </c>
      <c r="B590" s="4">
        <v>176.0</v>
      </c>
    </row>
    <row r="591" ht="22.5" customHeight="1">
      <c r="A591" s="3" t="s">
        <v>606</v>
      </c>
      <c r="B591" s="4">
        <v>73.0</v>
      </c>
    </row>
    <row r="592" ht="22.5" customHeight="1">
      <c r="A592" s="3" t="s">
        <v>607</v>
      </c>
      <c r="B592" s="4">
        <v>111.0</v>
      </c>
    </row>
    <row r="593" ht="22.5" customHeight="1">
      <c r="A593" s="3" t="s">
        <v>608</v>
      </c>
      <c r="B593" s="4">
        <v>112.0</v>
      </c>
    </row>
    <row r="594" ht="22.5" customHeight="1">
      <c r="A594" s="3" t="s">
        <v>609</v>
      </c>
      <c r="B594" s="4">
        <v>132.0</v>
      </c>
    </row>
    <row r="595" ht="22.5" customHeight="1">
      <c r="A595" s="3" t="s">
        <v>610</v>
      </c>
      <c r="B595" s="4">
        <v>82.0</v>
      </c>
    </row>
    <row r="596" ht="22.5" customHeight="1">
      <c r="A596" s="3" t="s">
        <v>611</v>
      </c>
      <c r="B596" s="4">
        <v>123.0</v>
      </c>
    </row>
    <row r="597" ht="22.5" customHeight="1">
      <c r="A597" s="3" t="s">
        <v>612</v>
      </c>
      <c r="B597" s="4">
        <v>188.0</v>
      </c>
    </row>
    <row r="598" ht="22.5" customHeight="1">
      <c r="A598" s="3" t="s">
        <v>613</v>
      </c>
      <c r="B598" s="4">
        <v>67.0</v>
      </c>
    </row>
    <row r="599" ht="22.5" customHeight="1">
      <c r="A599" s="3" t="s">
        <v>614</v>
      </c>
      <c r="B599" s="4">
        <v>89.0</v>
      </c>
    </row>
    <row r="600" ht="22.5" customHeight="1">
      <c r="A600" s="3" t="s">
        <v>615</v>
      </c>
      <c r="B600" s="4">
        <v>173.0</v>
      </c>
    </row>
    <row r="601" ht="22.5" customHeight="1">
      <c r="A601" s="3" t="s">
        <v>616</v>
      </c>
      <c r="B601" s="4">
        <v>109.0</v>
      </c>
    </row>
    <row r="602" ht="22.5" customHeight="1">
      <c r="A602" s="3" t="s">
        <v>617</v>
      </c>
      <c r="B602" s="4">
        <v>108.0</v>
      </c>
    </row>
    <row r="603" ht="22.5" customHeight="1">
      <c r="A603" s="3" t="s">
        <v>618</v>
      </c>
      <c r="B603" s="4">
        <v>96.0</v>
      </c>
    </row>
    <row r="604" ht="22.5" customHeight="1">
      <c r="A604" s="3" t="s">
        <v>619</v>
      </c>
      <c r="B604" s="4">
        <v>124.0</v>
      </c>
    </row>
    <row r="605" ht="22.5" customHeight="1">
      <c r="A605" s="3" t="s">
        <v>620</v>
      </c>
      <c r="B605" s="4">
        <v>150.0</v>
      </c>
    </row>
    <row r="606" ht="22.5" customHeight="1">
      <c r="A606" s="3" t="s">
        <v>621</v>
      </c>
      <c r="B606" s="4">
        <v>183.0</v>
      </c>
    </row>
    <row r="607" ht="22.5" customHeight="1">
      <c r="A607" s="3" t="s">
        <v>622</v>
      </c>
      <c r="B607" s="4">
        <v>124.0</v>
      </c>
    </row>
    <row r="608" ht="22.5" customHeight="1">
      <c r="A608" s="3" t="s">
        <v>623</v>
      </c>
      <c r="B608" s="4">
        <v>181.0</v>
      </c>
    </row>
    <row r="609" ht="22.5" customHeight="1">
      <c r="A609" s="3" t="s">
        <v>624</v>
      </c>
      <c r="B609" s="4">
        <v>92.0</v>
      </c>
    </row>
    <row r="610" ht="22.5" customHeight="1">
      <c r="A610" s="3" t="s">
        <v>625</v>
      </c>
      <c r="B610" s="4">
        <v>152.0</v>
      </c>
    </row>
    <row r="611" ht="22.5" customHeight="1">
      <c r="A611" s="3" t="s">
        <v>626</v>
      </c>
      <c r="B611" s="4">
        <v>111.0</v>
      </c>
    </row>
    <row r="612" ht="22.5" customHeight="1">
      <c r="A612" s="3" t="s">
        <v>627</v>
      </c>
      <c r="B612" s="4">
        <v>106.0</v>
      </c>
    </row>
    <row r="613" ht="22.5" customHeight="1">
      <c r="A613" s="3" t="s">
        <v>628</v>
      </c>
      <c r="B613" s="4">
        <v>174.0</v>
      </c>
    </row>
    <row r="614" ht="22.5" customHeight="1">
      <c r="A614" s="3" t="s">
        <v>629</v>
      </c>
      <c r="B614" s="4">
        <v>168.0</v>
      </c>
    </row>
    <row r="615" ht="22.5" customHeight="1">
      <c r="A615" s="3" t="s">
        <v>630</v>
      </c>
      <c r="B615" s="4">
        <v>105.0</v>
      </c>
    </row>
    <row r="616" ht="22.5" customHeight="1">
      <c r="A616" s="3" t="s">
        <v>631</v>
      </c>
      <c r="B616" s="4">
        <v>138.0</v>
      </c>
    </row>
    <row r="617" ht="22.5" customHeight="1">
      <c r="A617" s="3" t="s">
        <v>632</v>
      </c>
      <c r="B617" s="4">
        <v>106.0</v>
      </c>
    </row>
    <row r="618" ht="22.5" customHeight="1">
      <c r="A618" s="3" t="s">
        <v>633</v>
      </c>
      <c r="B618" s="4">
        <v>117.0</v>
      </c>
    </row>
    <row r="619" ht="22.5" customHeight="1">
      <c r="A619" s="3" t="s">
        <v>634</v>
      </c>
      <c r="B619" s="4">
        <v>68.0</v>
      </c>
    </row>
    <row r="620" ht="22.5" customHeight="1">
      <c r="A620" s="3" t="s">
        <v>635</v>
      </c>
      <c r="B620" s="4">
        <v>112.0</v>
      </c>
    </row>
    <row r="621" ht="22.5" customHeight="1">
      <c r="A621" s="3" t="s">
        <v>636</v>
      </c>
      <c r="B621" s="4">
        <v>119.0</v>
      </c>
    </row>
    <row r="622" ht="22.5" customHeight="1">
      <c r="A622" s="3" t="s">
        <v>637</v>
      </c>
      <c r="B622" s="4">
        <v>112.0</v>
      </c>
    </row>
    <row r="623" ht="22.5" customHeight="1">
      <c r="A623" s="3" t="s">
        <v>638</v>
      </c>
      <c r="B623" s="4">
        <v>92.0</v>
      </c>
    </row>
    <row r="624" ht="22.5" customHeight="1">
      <c r="A624" s="3" t="s">
        <v>639</v>
      </c>
      <c r="B624" s="4">
        <v>183.0</v>
      </c>
    </row>
    <row r="625" ht="22.5" customHeight="1">
      <c r="A625" s="3" t="s">
        <v>640</v>
      </c>
      <c r="B625" s="4">
        <v>94.0</v>
      </c>
    </row>
    <row r="626" ht="22.5" customHeight="1">
      <c r="A626" s="3" t="s">
        <v>641</v>
      </c>
      <c r="B626" s="4">
        <v>108.0</v>
      </c>
    </row>
    <row r="627" ht="22.5" customHeight="1">
      <c r="A627" s="3" t="s">
        <v>642</v>
      </c>
      <c r="B627" s="4">
        <v>90.0</v>
      </c>
    </row>
    <row r="628" ht="22.5" customHeight="1">
      <c r="A628" s="3" t="s">
        <v>643</v>
      </c>
      <c r="B628" s="4">
        <v>125.0</v>
      </c>
    </row>
    <row r="629" ht="22.5" customHeight="1">
      <c r="A629" s="3" t="s">
        <v>644</v>
      </c>
      <c r="B629" s="4">
        <v>132.0</v>
      </c>
    </row>
    <row r="630" ht="22.5" customHeight="1">
      <c r="A630" s="3" t="s">
        <v>645</v>
      </c>
      <c r="B630" s="4">
        <v>128.0</v>
      </c>
    </row>
    <row r="631" ht="22.5" customHeight="1">
      <c r="A631" s="3" t="s">
        <v>646</v>
      </c>
      <c r="B631" s="4">
        <v>94.0</v>
      </c>
    </row>
    <row r="632" ht="22.5" customHeight="1">
      <c r="A632" s="3" t="s">
        <v>647</v>
      </c>
      <c r="B632" s="4">
        <v>114.0</v>
      </c>
    </row>
    <row r="633" ht="22.5" customHeight="1">
      <c r="A633" s="3" t="s">
        <v>648</v>
      </c>
      <c r="B633" s="4">
        <v>102.0</v>
      </c>
    </row>
    <row r="634" ht="22.5" customHeight="1">
      <c r="A634" s="3" t="s">
        <v>649</v>
      </c>
      <c r="B634" s="4">
        <v>111.0</v>
      </c>
    </row>
    <row r="635" ht="22.5" customHeight="1">
      <c r="A635" s="3" t="s">
        <v>650</v>
      </c>
      <c r="B635" s="4">
        <v>128.0</v>
      </c>
    </row>
    <row r="636" ht="22.5" customHeight="1">
      <c r="A636" s="3" t="s">
        <v>651</v>
      </c>
      <c r="B636" s="4">
        <v>92.0</v>
      </c>
    </row>
    <row r="637" ht="22.5" customHeight="1">
      <c r="A637" s="3" t="s">
        <v>652</v>
      </c>
      <c r="B637" s="4">
        <v>104.0</v>
      </c>
    </row>
    <row r="638" ht="22.5" customHeight="1">
      <c r="A638" s="3" t="s">
        <v>653</v>
      </c>
      <c r="B638" s="4">
        <v>104.0</v>
      </c>
    </row>
    <row r="639" ht="22.5" customHeight="1">
      <c r="A639" s="3" t="s">
        <v>654</v>
      </c>
      <c r="B639" s="4">
        <v>94.0</v>
      </c>
    </row>
    <row r="640" ht="22.5" customHeight="1">
      <c r="A640" s="3" t="s">
        <v>655</v>
      </c>
      <c r="B640" s="4">
        <v>97.0</v>
      </c>
    </row>
    <row r="641" ht="22.5" customHeight="1">
      <c r="A641" s="3" t="s">
        <v>656</v>
      </c>
      <c r="B641" s="4">
        <v>100.0</v>
      </c>
    </row>
    <row r="642" ht="22.5" customHeight="1">
      <c r="A642" s="3" t="s">
        <v>657</v>
      </c>
      <c r="B642" s="4">
        <v>102.0</v>
      </c>
    </row>
    <row r="643" ht="22.5" customHeight="1">
      <c r="A643" s="3" t="s">
        <v>658</v>
      </c>
      <c r="B643" s="4">
        <v>128.0</v>
      </c>
    </row>
    <row r="644" ht="22.5" customHeight="1">
      <c r="A644" s="3" t="s">
        <v>659</v>
      </c>
      <c r="B644" s="4">
        <v>147.0</v>
      </c>
    </row>
    <row r="645" ht="22.5" customHeight="1">
      <c r="A645" s="3" t="s">
        <v>660</v>
      </c>
      <c r="B645" s="4">
        <v>90.0</v>
      </c>
    </row>
    <row r="646" ht="22.5" customHeight="1">
      <c r="A646" s="3" t="s">
        <v>661</v>
      </c>
      <c r="B646" s="4">
        <v>103.0</v>
      </c>
    </row>
    <row r="647" ht="22.5" customHeight="1">
      <c r="A647" s="3" t="s">
        <v>662</v>
      </c>
      <c r="B647" s="4">
        <v>157.0</v>
      </c>
    </row>
    <row r="648" ht="22.5" customHeight="1">
      <c r="A648" s="3" t="s">
        <v>663</v>
      </c>
      <c r="B648" s="4">
        <v>167.0</v>
      </c>
    </row>
    <row r="649" ht="22.5" customHeight="1">
      <c r="A649" s="3" t="s">
        <v>664</v>
      </c>
      <c r="B649" s="4">
        <v>179.0</v>
      </c>
    </row>
    <row r="650" ht="22.5" customHeight="1">
      <c r="A650" s="3" t="s">
        <v>665</v>
      </c>
      <c r="B650" s="4">
        <v>136.0</v>
      </c>
    </row>
    <row r="651" ht="22.5" customHeight="1">
      <c r="A651" s="3" t="s">
        <v>666</v>
      </c>
      <c r="B651" s="4">
        <v>107.0</v>
      </c>
    </row>
    <row r="652" ht="22.5" customHeight="1">
      <c r="A652" s="3" t="s">
        <v>667</v>
      </c>
      <c r="B652" s="4">
        <v>91.0</v>
      </c>
    </row>
    <row r="653" ht="22.5" customHeight="1">
      <c r="A653" s="3" t="s">
        <v>668</v>
      </c>
      <c r="B653" s="4">
        <v>117.0</v>
      </c>
    </row>
    <row r="654" ht="22.5" customHeight="1">
      <c r="A654" s="3" t="s">
        <v>669</v>
      </c>
      <c r="B654" s="4">
        <v>123.0</v>
      </c>
    </row>
    <row r="655" ht="22.5" customHeight="1">
      <c r="A655" s="3" t="s">
        <v>670</v>
      </c>
      <c r="B655" s="4">
        <v>120.0</v>
      </c>
    </row>
    <row r="656" ht="22.5" customHeight="1">
      <c r="A656" s="3" t="s">
        <v>671</v>
      </c>
      <c r="B656" s="4">
        <v>106.0</v>
      </c>
    </row>
    <row r="657" ht="22.5" customHeight="1">
      <c r="A657" s="3" t="s">
        <v>672</v>
      </c>
      <c r="B657" s="4">
        <v>155.0</v>
      </c>
    </row>
    <row r="658" ht="22.5" customHeight="1">
      <c r="A658" s="3" t="s">
        <v>673</v>
      </c>
      <c r="B658" s="4">
        <v>101.0</v>
      </c>
    </row>
    <row r="659" ht="22.5" customHeight="1">
      <c r="A659" s="3" t="s">
        <v>674</v>
      </c>
      <c r="B659" s="4">
        <v>120.0</v>
      </c>
    </row>
    <row r="660" ht="22.5" customHeight="1">
      <c r="A660" s="3" t="s">
        <v>675</v>
      </c>
      <c r="B660" s="4">
        <v>127.0</v>
      </c>
    </row>
    <row r="661" ht="22.5" customHeight="1">
      <c r="A661" s="3" t="s">
        <v>676</v>
      </c>
      <c r="B661" s="4">
        <v>80.0</v>
      </c>
    </row>
    <row r="662" ht="22.5" customHeight="1">
      <c r="A662" s="3" t="s">
        <v>677</v>
      </c>
      <c r="B662" s="4">
        <v>162.0</v>
      </c>
    </row>
    <row r="663" ht="22.5" customHeight="1">
      <c r="A663" s="3" t="s">
        <v>678</v>
      </c>
      <c r="B663" s="4">
        <v>199.0</v>
      </c>
    </row>
    <row r="664" ht="22.5" customHeight="1">
      <c r="A664" s="3" t="s">
        <v>679</v>
      </c>
      <c r="B664" s="4">
        <v>167.0</v>
      </c>
    </row>
    <row r="665" ht="22.5" customHeight="1">
      <c r="A665" s="3" t="s">
        <v>680</v>
      </c>
      <c r="B665" s="4">
        <v>145.0</v>
      </c>
    </row>
    <row r="666" ht="22.5" customHeight="1">
      <c r="A666" s="3" t="s">
        <v>681</v>
      </c>
      <c r="B666" s="4">
        <v>115.0</v>
      </c>
    </row>
    <row r="667" ht="22.5" customHeight="1">
      <c r="A667" s="3" t="s">
        <v>682</v>
      </c>
      <c r="B667" s="4">
        <v>112.0</v>
      </c>
    </row>
    <row r="668" ht="22.5" customHeight="1">
      <c r="A668" s="3" t="s">
        <v>683</v>
      </c>
      <c r="B668" s="4">
        <v>145.0</v>
      </c>
    </row>
    <row r="669" ht="22.5" customHeight="1">
      <c r="A669" s="3" t="s">
        <v>684</v>
      </c>
      <c r="B669" s="4">
        <v>111.0</v>
      </c>
    </row>
    <row r="670" ht="22.5" customHeight="1">
      <c r="A670" s="3" t="s">
        <v>685</v>
      </c>
      <c r="B670" s="4">
        <v>98.0</v>
      </c>
    </row>
    <row r="671" ht="22.5" customHeight="1">
      <c r="A671" s="3" t="s">
        <v>686</v>
      </c>
      <c r="B671" s="4">
        <v>154.0</v>
      </c>
    </row>
    <row r="672" ht="22.5" customHeight="1">
      <c r="A672" s="3" t="s">
        <v>687</v>
      </c>
      <c r="B672" s="4">
        <v>165.0</v>
      </c>
    </row>
    <row r="673" ht="22.5" customHeight="1">
      <c r="A673" s="3" t="s">
        <v>688</v>
      </c>
      <c r="B673" s="4">
        <v>99.0</v>
      </c>
    </row>
    <row r="674" ht="22.5" customHeight="1">
      <c r="A674" s="3" t="s">
        <v>689</v>
      </c>
      <c r="B674" s="4">
        <v>68.0</v>
      </c>
    </row>
    <row r="675" ht="22.5" customHeight="1">
      <c r="A675" s="3" t="s">
        <v>690</v>
      </c>
      <c r="B675" s="4">
        <v>123.0</v>
      </c>
    </row>
    <row r="676" ht="22.5" customHeight="1">
      <c r="A676" s="3" t="s">
        <v>691</v>
      </c>
      <c r="B676" s="4">
        <v>91.0</v>
      </c>
    </row>
    <row r="677" ht="22.5" customHeight="1">
      <c r="A677" s="3" t="s">
        <v>692</v>
      </c>
      <c r="B677" s="4">
        <v>195.0</v>
      </c>
    </row>
    <row r="678" ht="22.5" customHeight="1">
      <c r="A678" s="3" t="s">
        <v>693</v>
      </c>
      <c r="B678" s="4">
        <v>156.0</v>
      </c>
    </row>
    <row r="679" ht="22.5" customHeight="1">
      <c r="A679" s="3" t="s">
        <v>694</v>
      </c>
      <c r="B679" s="4">
        <v>93.0</v>
      </c>
    </row>
    <row r="680" ht="22.5" customHeight="1">
      <c r="A680" s="3" t="s">
        <v>695</v>
      </c>
      <c r="B680" s="4">
        <v>121.0</v>
      </c>
    </row>
    <row r="681" ht="22.5" customHeight="1">
      <c r="A681" s="3" t="s">
        <v>696</v>
      </c>
      <c r="B681" s="4">
        <v>101.0</v>
      </c>
    </row>
    <row r="682" ht="22.5" customHeight="1">
      <c r="A682" s="3" t="s">
        <v>697</v>
      </c>
      <c r="B682" s="4">
        <v>56.0</v>
      </c>
    </row>
    <row r="683" ht="22.5" customHeight="1">
      <c r="A683" s="3" t="s">
        <v>698</v>
      </c>
      <c r="B683" s="4">
        <v>162.0</v>
      </c>
    </row>
    <row r="684" ht="22.5" customHeight="1">
      <c r="A684" s="3" t="s">
        <v>699</v>
      </c>
      <c r="B684" s="4">
        <v>95.0</v>
      </c>
    </row>
    <row r="685" ht="22.5" customHeight="1">
      <c r="A685" s="3" t="s">
        <v>700</v>
      </c>
      <c r="B685" s="4">
        <v>125.0</v>
      </c>
    </row>
    <row r="686" ht="22.5" customHeight="1">
      <c r="A686" s="3" t="s">
        <v>701</v>
      </c>
      <c r="B686" s="4">
        <v>136.0</v>
      </c>
    </row>
    <row r="687" ht="22.5" customHeight="1">
      <c r="A687" s="3" t="s">
        <v>702</v>
      </c>
      <c r="B687" s="4">
        <v>129.0</v>
      </c>
    </row>
    <row r="688" ht="22.5" customHeight="1">
      <c r="A688" s="3" t="s">
        <v>703</v>
      </c>
      <c r="B688" s="4">
        <v>130.0</v>
      </c>
    </row>
    <row r="689" ht="22.5" customHeight="1">
      <c r="A689" s="3" t="s">
        <v>704</v>
      </c>
      <c r="B689" s="4">
        <v>107.0</v>
      </c>
    </row>
    <row r="690" ht="22.5" customHeight="1">
      <c r="A690" s="3" t="s">
        <v>705</v>
      </c>
      <c r="B690" s="4">
        <v>140.0</v>
      </c>
    </row>
    <row r="691" ht="22.5" customHeight="1">
      <c r="A691" s="3" t="s">
        <v>706</v>
      </c>
      <c r="B691" s="4">
        <v>144.0</v>
      </c>
    </row>
    <row r="692" ht="22.5" customHeight="1">
      <c r="A692" s="3" t="s">
        <v>707</v>
      </c>
      <c r="B692" s="4">
        <v>107.0</v>
      </c>
    </row>
    <row r="693" ht="22.5" customHeight="1">
      <c r="A693" s="3" t="s">
        <v>708</v>
      </c>
      <c r="B693" s="4">
        <v>158.0</v>
      </c>
    </row>
    <row r="694" ht="22.5" customHeight="1">
      <c r="A694" s="3" t="s">
        <v>709</v>
      </c>
      <c r="B694" s="4">
        <v>121.0</v>
      </c>
    </row>
    <row r="695" ht="22.5" customHeight="1">
      <c r="A695" s="3" t="s">
        <v>710</v>
      </c>
      <c r="B695" s="4">
        <v>129.0</v>
      </c>
    </row>
    <row r="696" ht="22.5" customHeight="1">
      <c r="A696" s="3" t="s">
        <v>711</v>
      </c>
      <c r="B696" s="4">
        <v>90.0</v>
      </c>
    </row>
    <row r="697" ht="22.5" customHeight="1">
      <c r="A697" s="3" t="s">
        <v>712</v>
      </c>
      <c r="B697" s="4">
        <v>142.0</v>
      </c>
    </row>
    <row r="698" ht="22.5" customHeight="1">
      <c r="A698" s="3" t="s">
        <v>713</v>
      </c>
      <c r="B698" s="4">
        <v>169.0</v>
      </c>
    </row>
    <row r="699" ht="22.5" customHeight="1">
      <c r="A699" s="3" t="s">
        <v>714</v>
      </c>
      <c r="B699" s="4">
        <v>99.0</v>
      </c>
    </row>
    <row r="700" ht="22.5" customHeight="1">
      <c r="A700" s="3" t="s">
        <v>715</v>
      </c>
      <c r="B700" s="4">
        <v>127.0</v>
      </c>
    </row>
    <row r="701" ht="22.5" customHeight="1">
      <c r="A701" s="3" t="s">
        <v>716</v>
      </c>
      <c r="B701" s="4">
        <v>118.0</v>
      </c>
    </row>
    <row r="702" ht="22.5" customHeight="1">
      <c r="A702" s="3" t="s">
        <v>717</v>
      </c>
      <c r="B702" s="4">
        <v>122.0</v>
      </c>
    </row>
    <row r="703" ht="22.5" customHeight="1">
      <c r="A703" s="3" t="s">
        <v>718</v>
      </c>
      <c r="B703" s="4">
        <v>125.0</v>
      </c>
    </row>
    <row r="704" ht="22.5" customHeight="1">
      <c r="A704" s="3" t="s">
        <v>719</v>
      </c>
      <c r="B704" s="4">
        <v>168.0</v>
      </c>
    </row>
    <row r="705" ht="22.5" customHeight="1">
      <c r="A705" s="3" t="s">
        <v>720</v>
      </c>
      <c r="B705" s="4">
        <v>129.0</v>
      </c>
    </row>
    <row r="706" ht="22.5" customHeight="1">
      <c r="A706" s="3" t="s">
        <v>721</v>
      </c>
      <c r="B706" s="4">
        <v>110.0</v>
      </c>
    </row>
    <row r="707" ht="22.5" customHeight="1">
      <c r="A707" s="3" t="s">
        <v>722</v>
      </c>
      <c r="B707" s="4">
        <v>80.0</v>
      </c>
    </row>
    <row r="708" ht="22.5" customHeight="1">
      <c r="A708" s="3" t="s">
        <v>723</v>
      </c>
      <c r="B708" s="4">
        <v>115.0</v>
      </c>
    </row>
    <row r="709" ht="22.5" customHeight="1">
      <c r="A709" s="3" t="s">
        <v>724</v>
      </c>
      <c r="B709" s="4">
        <v>127.0</v>
      </c>
    </row>
    <row r="710" ht="22.5" customHeight="1">
      <c r="A710" s="3" t="s">
        <v>725</v>
      </c>
      <c r="B710" s="4">
        <v>164.0</v>
      </c>
    </row>
    <row r="711" ht="22.5" customHeight="1">
      <c r="A711" s="3" t="s">
        <v>726</v>
      </c>
      <c r="B711" s="4">
        <v>93.0</v>
      </c>
    </row>
    <row r="712" ht="22.5" customHeight="1">
      <c r="A712" s="3" t="s">
        <v>727</v>
      </c>
      <c r="B712" s="4">
        <v>158.0</v>
      </c>
    </row>
    <row r="713" ht="22.5" customHeight="1">
      <c r="A713" s="3" t="s">
        <v>728</v>
      </c>
      <c r="B713" s="4">
        <v>126.0</v>
      </c>
    </row>
    <row r="714" ht="22.5" customHeight="1">
      <c r="A714" s="3" t="s">
        <v>729</v>
      </c>
      <c r="B714" s="4">
        <v>129.0</v>
      </c>
    </row>
    <row r="715" ht="22.5" customHeight="1">
      <c r="A715" s="3" t="s">
        <v>730</v>
      </c>
      <c r="B715" s="4">
        <v>134.0</v>
      </c>
    </row>
    <row r="716" ht="22.5" customHeight="1">
      <c r="A716" s="3" t="s">
        <v>731</v>
      </c>
      <c r="B716" s="4">
        <v>102.0</v>
      </c>
    </row>
    <row r="717" ht="22.5" customHeight="1">
      <c r="A717" s="3" t="s">
        <v>732</v>
      </c>
      <c r="B717" s="4">
        <v>187.0</v>
      </c>
    </row>
    <row r="718" ht="22.5" customHeight="1">
      <c r="A718" s="3" t="s">
        <v>733</v>
      </c>
      <c r="B718" s="4">
        <v>173.0</v>
      </c>
    </row>
    <row r="719" ht="22.5" customHeight="1">
      <c r="A719" s="3" t="s">
        <v>734</v>
      </c>
      <c r="B719" s="4">
        <v>94.0</v>
      </c>
    </row>
    <row r="720" ht="22.5" customHeight="1">
      <c r="A720" s="3" t="s">
        <v>735</v>
      </c>
      <c r="B720" s="4">
        <v>108.0</v>
      </c>
    </row>
    <row r="721" ht="22.5" customHeight="1">
      <c r="A721" s="3" t="s">
        <v>736</v>
      </c>
      <c r="B721" s="4">
        <v>97.0</v>
      </c>
    </row>
    <row r="722" ht="22.5" customHeight="1">
      <c r="A722" s="3" t="s">
        <v>737</v>
      </c>
      <c r="B722" s="4">
        <v>83.0</v>
      </c>
    </row>
    <row r="723" ht="22.5" customHeight="1">
      <c r="A723" s="3" t="s">
        <v>738</v>
      </c>
      <c r="B723" s="4">
        <v>114.0</v>
      </c>
    </row>
    <row r="724" ht="22.5" customHeight="1">
      <c r="A724" s="3" t="s">
        <v>739</v>
      </c>
      <c r="B724" s="4">
        <v>149.0</v>
      </c>
    </row>
    <row r="725" ht="22.5" customHeight="1">
      <c r="A725" s="3" t="s">
        <v>740</v>
      </c>
      <c r="B725" s="4">
        <v>117.0</v>
      </c>
    </row>
    <row r="726" ht="22.5" customHeight="1">
      <c r="A726" s="3" t="s">
        <v>741</v>
      </c>
      <c r="B726" s="4">
        <v>111.0</v>
      </c>
    </row>
    <row r="727" ht="22.5" customHeight="1">
      <c r="A727" s="3" t="s">
        <v>742</v>
      </c>
      <c r="B727" s="4">
        <v>112.0</v>
      </c>
    </row>
    <row r="728" ht="22.5" customHeight="1">
      <c r="A728" s="3" t="s">
        <v>743</v>
      </c>
      <c r="B728" s="4">
        <v>116.0</v>
      </c>
    </row>
    <row r="729" ht="22.5" customHeight="1">
      <c r="A729" s="3" t="s">
        <v>744</v>
      </c>
      <c r="B729" s="4">
        <v>141.0</v>
      </c>
    </row>
    <row r="730" ht="22.5" customHeight="1">
      <c r="A730" s="3" t="s">
        <v>745</v>
      </c>
      <c r="B730" s="4">
        <v>175.0</v>
      </c>
    </row>
    <row r="731" ht="22.5" customHeight="1">
      <c r="A731" s="3" t="s">
        <v>746</v>
      </c>
      <c r="B731" s="4">
        <v>92.0</v>
      </c>
    </row>
    <row r="732" ht="22.5" customHeight="1">
      <c r="A732" s="3" t="s">
        <v>747</v>
      </c>
      <c r="B732" s="4">
        <v>130.0</v>
      </c>
    </row>
    <row r="733" ht="22.5" customHeight="1">
      <c r="A733" s="3" t="s">
        <v>748</v>
      </c>
      <c r="B733" s="4">
        <v>120.0</v>
      </c>
    </row>
    <row r="734" ht="22.5" customHeight="1">
      <c r="A734" s="3" t="s">
        <v>749</v>
      </c>
      <c r="B734" s="4">
        <v>174.0</v>
      </c>
    </row>
    <row r="735" ht="22.5" customHeight="1">
      <c r="A735" s="3" t="s">
        <v>750</v>
      </c>
      <c r="B735" s="4">
        <v>106.0</v>
      </c>
    </row>
    <row r="736" ht="22.5" customHeight="1">
      <c r="A736" s="3" t="s">
        <v>751</v>
      </c>
      <c r="B736" s="4">
        <v>105.0</v>
      </c>
    </row>
    <row r="737" ht="22.5" customHeight="1">
      <c r="A737" s="3" t="s">
        <v>752</v>
      </c>
      <c r="B737" s="4">
        <v>95.0</v>
      </c>
    </row>
    <row r="738" ht="22.5" customHeight="1">
      <c r="A738" s="3" t="s">
        <v>753</v>
      </c>
      <c r="B738" s="4">
        <v>126.0</v>
      </c>
    </row>
    <row r="739" ht="22.5" customHeight="1">
      <c r="A739" s="3" t="s">
        <v>754</v>
      </c>
      <c r="B739" s="4">
        <v>65.0</v>
      </c>
    </row>
    <row r="740" ht="22.5" customHeight="1">
      <c r="A740" s="3" t="s">
        <v>755</v>
      </c>
      <c r="B740" s="4">
        <v>99.0</v>
      </c>
    </row>
    <row r="741" ht="22.5" customHeight="1">
      <c r="A741" s="3" t="s">
        <v>756</v>
      </c>
      <c r="B741" s="4">
        <v>102.0</v>
      </c>
    </row>
    <row r="742" ht="22.5" customHeight="1">
      <c r="A742" s="3" t="s">
        <v>757</v>
      </c>
      <c r="B742" s="4">
        <v>120.0</v>
      </c>
    </row>
    <row r="743" ht="22.5" customHeight="1">
      <c r="A743" s="3" t="s">
        <v>758</v>
      </c>
      <c r="B743" s="4">
        <v>102.0</v>
      </c>
    </row>
    <row r="744" ht="22.5" customHeight="1">
      <c r="A744" s="3" t="s">
        <v>759</v>
      </c>
      <c r="B744" s="4">
        <v>109.0</v>
      </c>
    </row>
    <row r="745" ht="22.5" customHeight="1">
      <c r="A745" s="3" t="s">
        <v>760</v>
      </c>
      <c r="B745" s="4">
        <v>140.0</v>
      </c>
    </row>
    <row r="746" ht="22.5" customHeight="1">
      <c r="A746" s="3" t="s">
        <v>761</v>
      </c>
      <c r="B746" s="4">
        <v>153.0</v>
      </c>
    </row>
    <row r="747" ht="22.5" customHeight="1">
      <c r="A747" s="3" t="s">
        <v>762</v>
      </c>
      <c r="B747" s="4">
        <v>100.0</v>
      </c>
    </row>
    <row r="748" ht="22.5" customHeight="1">
      <c r="A748" s="3" t="s">
        <v>763</v>
      </c>
      <c r="B748" s="4">
        <v>147.0</v>
      </c>
    </row>
    <row r="749" ht="22.5" customHeight="1">
      <c r="A749" s="3" t="s">
        <v>764</v>
      </c>
      <c r="B749" s="4">
        <v>81.0</v>
      </c>
    </row>
    <row r="750" ht="22.5" customHeight="1">
      <c r="A750" s="3" t="s">
        <v>765</v>
      </c>
      <c r="B750" s="4">
        <v>187.0</v>
      </c>
    </row>
    <row r="751" ht="22.5" customHeight="1">
      <c r="A751" s="3" t="s">
        <v>766</v>
      </c>
      <c r="B751" s="4">
        <v>162.0</v>
      </c>
    </row>
    <row r="752" ht="22.5" customHeight="1">
      <c r="A752" s="3" t="s">
        <v>767</v>
      </c>
      <c r="B752" s="4">
        <v>136.0</v>
      </c>
    </row>
    <row r="753" ht="22.5" customHeight="1">
      <c r="A753" s="3" t="s">
        <v>768</v>
      </c>
      <c r="B753" s="4">
        <v>121.0</v>
      </c>
    </row>
    <row r="754" ht="22.5" customHeight="1">
      <c r="A754" s="3" t="s">
        <v>769</v>
      </c>
      <c r="B754" s="4">
        <v>108.0</v>
      </c>
    </row>
    <row r="755" ht="22.5" customHeight="1">
      <c r="A755" s="3" t="s">
        <v>770</v>
      </c>
      <c r="B755" s="4">
        <v>181.0</v>
      </c>
    </row>
    <row r="756" ht="22.5" customHeight="1">
      <c r="A756" s="3" t="s">
        <v>771</v>
      </c>
      <c r="B756" s="4">
        <v>154.0</v>
      </c>
    </row>
    <row r="757" ht="22.5" customHeight="1">
      <c r="A757" s="3" t="s">
        <v>772</v>
      </c>
      <c r="B757" s="4">
        <v>128.0</v>
      </c>
    </row>
    <row r="758" ht="22.5" customHeight="1">
      <c r="A758" s="3" t="s">
        <v>773</v>
      </c>
      <c r="B758" s="4">
        <v>137.0</v>
      </c>
    </row>
    <row r="759" ht="22.5" customHeight="1">
      <c r="A759" s="3" t="s">
        <v>774</v>
      </c>
      <c r="B759" s="4">
        <v>123.0</v>
      </c>
    </row>
    <row r="760" ht="22.5" customHeight="1">
      <c r="A760" s="3" t="s">
        <v>775</v>
      </c>
      <c r="B760" s="4">
        <v>106.0</v>
      </c>
    </row>
    <row r="761" ht="22.5" customHeight="1">
      <c r="A761" s="3" t="s">
        <v>776</v>
      </c>
      <c r="B761" s="4">
        <v>190.0</v>
      </c>
    </row>
    <row r="762" ht="22.5" customHeight="1">
      <c r="A762" s="3" t="s">
        <v>777</v>
      </c>
      <c r="B762" s="4">
        <v>88.0</v>
      </c>
    </row>
    <row r="763" ht="22.5" customHeight="1">
      <c r="A763" s="3" t="s">
        <v>778</v>
      </c>
      <c r="B763" s="4">
        <v>170.0</v>
      </c>
    </row>
    <row r="764" ht="22.5" customHeight="1">
      <c r="A764" s="3" t="s">
        <v>779</v>
      </c>
      <c r="B764" s="4">
        <v>89.0</v>
      </c>
    </row>
    <row r="765" ht="22.5" customHeight="1">
      <c r="A765" s="3" t="s">
        <v>780</v>
      </c>
      <c r="B765" s="4">
        <v>101.0</v>
      </c>
    </row>
    <row r="766" ht="22.5" customHeight="1">
      <c r="A766" s="3" t="s">
        <v>781</v>
      </c>
      <c r="B766" s="4">
        <v>122.0</v>
      </c>
    </row>
    <row r="767" ht="22.5" customHeight="1">
      <c r="A767" s="3" t="s">
        <v>782</v>
      </c>
      <c r="B767" s="4">
        <v>121.0</v>
      </c>
    </row>
    <row r="768" ht="22.5" customHeight="1">
      <c r="A768" s="3" t="s">
        <v>783</v>
      </c>
      <c r="B768" s="4">
        <v>126.0</v>
      </c>
    </row>
    <row r="769" ht="22.5" customHeight="1">
      <c r="A769" s="3" t="s">
        <v>784</v>
      </c>
      <c r="B769" s="4">
        <v>93.0</v>
      </c>
    </row>
  </sheetData>
  <drawing r:id="rId1"/>
  <tableParts count="1">
    <tablePart r:id="rId3"/>
  </tableParts>
</worksheet>
</file>